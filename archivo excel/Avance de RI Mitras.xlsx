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bilidad\Downloads\"/>
    </mc:Choice>
  </mc:AlternateContent>
  <xr:revisionPtr revIDLastSave="0" documentId="13_ncr:1_{17B395FF-A4CE-4142-ABA0-A6B0A3FB0F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5" sheetId="1" r:id="rId1"/>
    <sheet name="2026" sheetId="2" r:id="rId2"/>
    <sheet name="Avance de RI" sheetId="3" r:id="rId3"/>
  </sheets>
  <definedNames>
    <definedName name="_xlnm._FilterDatabase" localSheetId="0" hidden="1">'2025'!$A$5:$C$438</definedName>
    <definedName name="_xlnm._FilterDatabase" localSheetId="1" hidden="1">'2026'!$A$5:$B$341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3" l="1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6" i="1"/>
  <c r="C21" i="3" l="1"/>
  <c r="C22" i="3" s="1"/>
  <c r="B10" i="3"/>
  <c r="D10" i="3" s="1"/>
  <c r="B17" i="3"/>
  <c r="D17" i="3" s="1"/>
  <c r="B20" i="3"/>
  <c r="D20" i="3" s="1"/>
  <c r="B15" i="3"/>
  <c r="D15" i="3" s="1"/>
  <c r="B16" i="3"/>
  <c r="D16" i="3" s="1"/>
  <c r="B18" i="3"/>
  <c r="D18" i="3" s="1"/>
  <c r="B19" i="3"/>
  <c r="D19" i="3" s="1"/>
  <c r="B13" i="3"/>
  <c r="D13" i="3" s="1"/>
  <c r="B5" i="3"/>
  <c r="D5" i="3" s="1"/>
  <c r="B14" i="3"/>
  <c r="D14" i="3" s="1"/>
  <c r="B11" i="3"/>
  <c r="D11" i="3" s="1"/>
  <c r="B7" i="3"/>
  <c r="D7" i="3" s="1"/>
  <c r="B12" i="3"/>
  <c r="D12" i="3" s="1"/>
  <c r="B9" i="3"/>
  <c r="D9" i="3" s="1"/>
  <c r="B8" i="3"/>
  <c r="D8" i="3" s="1"/>
  <c r="B6" i="3"/>
  <c r="D6" i="3" s="1"/>
  <c r="B3" i="3"/>
  <c r="D3" i="3" s="1"/>
  <c r="B4" i="3"/>
  <c r="D4" i="3" s="1"/>
  <c r="B2" i="3"/>
  <c r="B21" i="3" l="1"/>
  <c r="B22" i="3" s="1"/>
  <c r="D22" i="3" s="1"/>
  <c r="D2" i="3"/>
  <c r="D21" i="3" l="1"/>
</calcChain>
</file>

<file path=xl/sharedStrings.xml><?xml version="1.0" encoding="utf-8"?>
<sst xmlns="http://schemas.openxmlformats.org/spreadsheetml/2006/main" count="2106" uniqueCount="168">
  <si>
    <t>6PBMI</t>
  </si>
  <si>
    <t>6PAMI</t>
  </si>
  <si>
    <t>5PAMI</t>
  </si>
  <si>
    <t>5PBMI</t>
  </si>
  <si>
    <t>4PAMI</t>
  </si>
  <si>
    <t>4PBMI</t>
  </si>
  <si>
    <t>3PBMI</t>
  </si>
  <si>
    <t>3PAMI</t>
  </si>
  <si>
    <t>2PAMI</t>
  </si>
  <si>
    <t>2PBMI</t>
  </si>
  <si>
    <t>1PBMI</t>
  </si>
  <si>
    <t>1PAMI</t>
  </si>
  <si>
    <t>3KBMI</t>
  </si>
  <si>
    <t>3KAMI</t>
  </si>
  <si>
    <t>2KBMI</t>
  </si>
  <si>
    <t>2KAMI</t>
  </si>
  <si>
    <t>1KBMI</t>
  </si>
  <si>
    <t>1KAMI</t>
  </si>
  <si>
    <t>PNAMI</t>
  </si>
  <si>
    <t>REPORTE GENERAL DE ALUMNOS</t>
  </si>
  <si>
    <t>UNIDADES: MITRAS</t>
  </si>
  <si>
    <t/>
  </si>
  <si>
    <t>Matrícula</t>
  </si>
  <si>
    <t>Grupo</t>
  </si>
  <si>
    <t>MITRAS 2025-2026</t>
  </si>
  <si>
    <t>Estatus</t>
  </si>
  <si>
    <t>Reinscrito</t>
  </si>
  <si>
    <t>Inscrito</t>
  </si>
  <si>
    <t>total de alumnos Reinscritos</t>
  </si>
  <si>
    <t>% avance</t>
  </si>
  <si>
    <t>Total de alumnos por grupo</t>
  </si>
  <si>
    <t>Total / Unidad</t>
  </si>
  <si>
    <t>Alumno Reinscrito</t>
  </si>
  <si>
    <t>con sexto de primaria</t>
  </si>
  <si>
    <t>20/Abr./2026</t>
  </si>
  <si>
    <t>MITRAS 2026-2027</t>
  </si>
  <si>
    <t>Grado</t>
  </si>
  <si>
    <t>Fecha estatus</t>
  </si>
  <si>
    <t>Comentario estatus</t>
  </si>
  <si>
    <t>SECUNDARIA Grado 1</t>
  </si>
  <si>
    <t>19/11/2025</t>
  </si>
  <si>
    <t>5 Activación automática</t>
  </si>
  <si>
    <t>31/12/2025</t>
  </si>
  <si>
    <t>01/12/2025</t>
  </si>
  <si>
    <t>03/12/2025</t>
  </si>
  <si>
    <t>PRIMARIA Grado 6</t>
  </si>
  <si>
    <t>24/11/2025</t>
  </si>
  <si>
    <t>Pendiente</t>
  </si>
  <si>
    <t>22/09/2025</t>
  </si>
  <si>
    <t>24/02/2026</t>
  </si>
  <si>
    <t>11/12/2025</t>
  </si>
  <si>
    <t>23/11/2025</t>
  </si>
  <si>
    <t>30/12/2025</t>
  </si>
  <si>
    <t>15/01/2026</t>
  </si>
  <si>
    <t>26/11/2025</t>
  </si>
  <si>
    <t>02/03/2026</t>
  </si>
  <si>
    <t>09/01/2026</t>
  </si>
  <si>
    <t>02/12/2025</t>
  </si>
  <si>
    <t>16/12/2025</t>
  </si>
  <si>
    <t>12/12/2025</t>
  </si>
  <si>
    <t>26/01/2026</t>
  </si>
  <si>
    <t>PRIMARIA Grado 5</t>
  </si>
  <si>
    <t>13/01/2026</t>
  </si>
  <si>
    <t>27/02/2026</t>
  </si>
  <si>
    <t>14/12/2025</t>
  </si>
  <si>
    <t>03/02/2026</t>
  </si>
  <si>
    <t>11/02/2026</t>
  </si>
  <si>
    <t>05/12/2025</t>
  </si>
  <si>
    <t>29/12/2025</t>
  </si>
  <si>
    <t>06/03/2026</t>
  </si>
  <si>
    <t>Baja</t>
  </si>
  <si>
    <t>30/10/2025</t>
  </si>
  <si>
    <t>Alumnos NO RI 26-27 Correo 301025</t>
  </si>
  <si>
    <t>11/03/2026</t>
  </si>
  <si>
    <t>PRIMARIA Grado 4</t>
  </si>
  <si>
    <t>15/12/2025</t>
  </si>
  <si>
    <t>26/02/2026</t>
  </si>
  <si>
    <t>17/03/2026</t>
  </si>
  <si>
    <t>28/11/2025</t>
  </si>
  <si>
    <t>13/04/2026</t>
  </si>
  <si>
    <t>Transferencia a Campus Dominio / Cambio de domicilio para ciclo 26-27 pago su RI en Campus Mitras</t>
  </si>
  <si>
    <t>07/01/2026</t>
  </si>
  <si>
    <t>PRIMARIA Grado 3</t>
  </si>
  <si>
    <t>29/01/2026</t>
  </si>
  <si>
    <t>Transferencia de Mitras a Cumbres para el ciclo escolar 26-27</t>
  </si>
  <si>
    <t>25/11/2025</t>
  </si>
  <si>
    <t>05/03/2026</t>
  </si>
  <si>
    <t>Transferencia Jose Juan Garcia Saenz  de Mitras a Cumbres para el ciclo escolar 26-27. El motivo del cambio es que la hermana mayor pasa a secundaria</t>
  </si>
  <si>
    <t>PRIMARIA Grado 2</t>
  </si>
  <si>
    <t>23/12/2025</t>
  </si>
  <si>
    <t>17/12/2025</t>
  </si>
  <si>
    <t>04/12/2025</t>
  </si>
  <si>
    <t>14/11/2025</t>
  </si>
  <si>
    <t>13/11/2025</t>
  </si>
  <si>
    <t>21/01/2026</t>
  </si>
  <si>
    <t>27/11/2025</t>
  </si>
  <si>
    <t>24/03/2026</t>
  </si>
  <si>
    <t>31/03/2026</t>
  </si>
  <si>
    <t>28/12/2025</t>
  </si>
  <si>
    <t>19/02/2026</t>
  </si>
  <si>
    <t>28/01/2026</t>
  </si>
  <si>
    <t>28/02/2026</t>
  </si>
  <si>
    <t>18/12/2025</t>
  </si>
  <si>
    <t>10/12/2025</t>
  </si>
  <si>
    <t>08/01/2026</t>
  </si>
  <si>
    <t>16/11/2025</t>
  </si>
  <si>
    <t>PRIMARIA Grado 1</t>
  </si>
  <si>
    <t>16/04/2026</t>
  </si>
  <si>
    <t>13/02/2026</t>
  </si>
  <si>
    <t>14/01/2026</t>
  </si>
  <si>
    <t>03/03/2026</t>
  </si>
  <si>
    <t>12/03/2026</t>
  </si>
  <si>
    <t>10/04/2026</t>
  </si>
  <si>
    <t>01/02/2026</t>
  </si>
  <si>
    <t>21/11/2025</t>
  </si>
  <si>
    <t>22/12/2025</t>
  </si>
  <si>
    <t>24/12/2025</t>
  </si>
  <si>
    <t>PREESCOLAR Grado 3</t>
  </si>
  <si>
    <t>04/03/2026</t>
  </si>
  <si>
    <t>20/11/2025</t>
  </si>
  <si>
    <t>01/04/2026</t>
  </si>
  <si>
    <t>10/03/2026</t>
  </si>
  <si>
    <t>18/02/2026</t>
  </si>
  <si>
    <t>26/12/2025</t>
  </si>
  <si>
    <t>20/12/2025</t>
  </si>
  <si>
    <t>31/01/2026</t>
  </si>
  <si>
    <t>23/03/2026</t>
  </si>
  <si>
    <t>PREESCOLAR Grado 2</t>
  </si>
  <si>
    <t>01/01/2026</t>
  </si>
  <si>
    <t>20/01/2026</t>
  </si>
  <si>
    <t>Transferencia de Mitras al Campus Dominio para el ciclo escolar 2026-2027</t>
  </si>
  <si>
    <t>06/01/2026</t>
  </si>
  <si>
    <t>26/03/2026</t>
  </si>
  <si>
    <t>15/04/2026</t>
  </si>
  <si>
    <t>19/12/2025</t>
  </si>
  <si>
    <t>30/11/2025</t>
  </si>
  <si>
    <t>PREESCOLAR Grado 1</t>
  </si>
  <si>
    <t>08/02/2026</t>
  </si>
  <si>
    <t>18/11/2025</t>
  </si>
  <si>
    <t>16/01/2026</t>
  </si>
  <si>
    <t>04/02/2026</t>
  </si>
  <si>
    <t>06/02/2026</t>
  </si>
  <si>
    <t>16/02/2026</t>
  </si>
  <si>
    <t>03/10/2025</t>
  </si>
  <si>
    <t>PRENURSERY Grado 1</t>
  </si>
  <si>
    <t>07/10/2025</t>
  </si>
  <si>
    <t>1 Activación automática</t>
  </si>
  <si>
    <t>09/10/2025</t>
  </si>
  <si>
    <t>16/10/2025</t>
  </si>
  <si>
    <t>15/10/2025</t>
  </si>
  <si>
    <t>14/10/2025</t>
  </si>
  <si>
    <t>10/10/2025</t>
  </si>
  <si>
    <t>28/10/2025</t>
  </si>
  <si>
    <t>Proceso</t>
  </si>
  <si>
    <t>21/10/2025</t>
  </si>
  <si>
    <t>Transferencia de campus de Mitras a Dominio para el ciclo 26-27 de la alumna de NI</t>
  </si>
  <si>
    <t>31/10/2025</t>
  </si>
  <si>
    <t>14/04/2026</t>
  </si>
  <si>
    <t>Anexo el formato de baja de un nuevo ingreso, ya que se van a otra ciudad no inscribe 26-27 cambio de domicilio , solicita reembolso</t>
  </si>
  <si>
    <t>08/12/2025</t>
  </si>
  <si>
    <t>23/01/2026</t>
  </si>
  <si>
    <t>27/01/2026</t>
  </si>
  <si>
    <t>13/03/2026</t>
  </si>
  <si>
    <t>27/03/2026</t>
  </si>
  <si>
    <t>20/03/2026</t>
  </si>
  <si>
    <t>25/03/2026</t>
  </si>
  <si>
    <t>25/02/2026</t>
  </si>
  <si>
    <t>11/01/2026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</si>
</sst>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6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/>
    <xf numFmtId="0" fontId="0" fillId="0" borderId="1" xfId="0" applyBorder="1"/>
    <xf numFmtId="0" fontId="0" fillId="0" borderId="0" xfId="0"/>
    <xf numFmtId="0" fontId="1" fillId="2" borderId="1" xfId="0" applyFont="1" applyFill="1" applyBorder="1"/>
    <xf numFmtId="10" fontId="0" fillId="0" borderId="0" xfId="0" applyNumberFormat="1" applyFont="1"/>
    <xf numFmtId="0" fontId="0" fillId="0" borderId="0" xfId="0" applyNumberFormat="1" applyFont="1"/>
    <xf numFmtId="0" fontId="0" fillId="0" borderId="1" xfId="0" applyNumberFormat="1" applyFont="1" applyBorder="1"/>
    <xf numFmtId="10" fontId="0" fillId="0" borderId="1" xfId="0" applyNumberFormat="1" applyFont="1" applyBorder="1"/>
    <xf numFmtId="0" fontId="0" fillId="3" borderId="1" xfId="0" applyNumberFormat="1" applyFont="1" applyFill="1" applyBorder="1"/>
    <xf numFmtId="10" fontId="2" fillId="4" borderId="1" xfId="0" applyNumberFormat="1" applyFont="1" applyFill="1" applyBorder="1"/>
    <xf numFmtId="0" fontId="0" fillId="0" borderId="1" xfId="0" applyNumberFormat="1" applyFont="1" applyBorder="1" applyAlignment="1">
      <alignment horizontal="right"/>
    </xf>
    <xf numFmtId="0" fontId="0" fillId="0" borderId="1" xfId="0" applyNumberFormat="1" applyFont="1" applyBorder="1"/>
    <xf numFmtId="0" fontId="0" fillId="0" borderId="1" xfId="0" applyNumberFormat="1" applyFont="1" applyBorder="1" applyAlignment="1">
      <alignment horizontal="right"/>
    </xf>
    <xf numFmtId="0" fontId="0" fillId="0" borderId="1" xfId="0" applyNumberFormat="1" applyFont="1" applyBorder="1"/>
    <xf numFmtId="0" fontId="0" fillId="0" borderId="2" xfId="0" applyNumberFormat="1" applyFont="1" applyBorder="1"/>
    <xf numFmtId="10" fontId="0" fillId="0" borderId="2" xfId="0" applyNumberFormat="1" applyFont="1" applyBorder="1"/>
    <xf numFmtId="0" fontId="0" fillId="0" borderId="1" xfId="0" applyNumberFormat="1" applyFont="1" applyBorder="1" applyAlignment="1">
      <alignment horizontal="right"/>
    </xf>
    <xf numFmtId="0" fontId="0" fillId="0" borderId="1" xfId="0" applyNumberFormat="1" applyFont="1" applyBorder="1"/>
    <xf numFmtId="0" fontId="0" fillId="0" borderId="1" xfId="0" applyNumberFormat="1" applyFont="1" applyBorder="1" applyAlignment="1">
      <alignment horizontal="right"/>
    </xf>
    <xf numFmtId="0" fontId="0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2" borderId="1" xfId="0" applyNumberFormat="1" applyFont="1" applyFill="1" applyBorder="1"/>
    <xf numFmtId="0" fontId="0" fillId="0" borderId="1" xfId="0" applyNumberFormat="1" applyFont="1" applyBorder="1" applyAlignment="1">
      <alignment horizontal="right"/>
    </xf>
    <xf numFmtId="0" fontId="0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2" borderId="1" xfId="0" applyNumberFormat="1" applyFont="1" applyFill="1" applyBorder="1"/>
    <xf numFmtId="0" fontId="0" fillId="0" borderId="1" xfId="0" applyNumberFormat="1" applyFont="1" applyBorder="1" applyAlignment="1">
      <alignment horizontal="right"/>
    </xf>
    <xf numFmtId="0" fontId="0" fillId="0" borderId="1" xfId="0" applyNumberFormat="1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8E5AA-DC6A-45A7-AAE0-57E528BCCD02}" name="Tabla1" displayName="Tabla1" ref="A1:D22" totalsRowCount="1" dataDxfId="8">
  <autoFilter ref="A1:D21" xr:uid="{E778E5AA-DC6A-45A7-AAE0-57E528BCCD02}"/>
  <tableColumns count="4">
    <tableColumn id="1" xr3:uid="{752E4BBB-7B8A-42C4-86EF-8B12A26E6A49}" name="Grupo" totalsRowLabel="con sexto de primaria" dataDxfId="7" totalsRowDxfId="6"/>
    <tableColumn id="2" xr3:uid="{9855C244-8823-48B6-9F44-0936D7E197A3}" name="total de alumnos Reinscritos" totalsRowFunction="sum" dataDxfId="5" totalsRowDxfId="4">
      <calculatedColumnFormula>COUNTIFS('2025'!B6:B700,"1KAMI",'2025'!C6:C700,"Reinscrito")</calculatedColumnFormula>
    </tableColumn>
    <tableColumn id="3" xr3:uid="{48F4C276-0F4E-474F-A8E5-28CC4C82D08B}" name="Total de alumnos por grupo" totalsRowFunction="sum" dataDxfId="3" totalsRowDxfId="2">
      <calculatedColumnFormula>COUNTIF('2025'!B6:B700,"1KAMI")</calculatedColumnFormula>
    </tableColumn>
    <tableColumn id="4" xr3:uid="{9D80F4D0-1921-4256-9786-E497502BE76F}" name="% avance" totalsRowFunction="custom" dataDxfId="1" totalsRowDxfId="0">
      <calculatedColumnFormula>B2/C2</calculatedColumnFormula>
      <totalsRowFormula>Tabla1[[#Totals],[total de alumnos Reinscritos]]/Tabla1[[#Totals],[Total de alumnos por grupo]]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8"/>
  <sheetViews>
    <sheetView zoomScale="95" zoomScaleNormal="95" workbookViewId="0">
      <selection sqref="A1:B380"/>
    </sheetView>
  </sheetViews>
  <sheetFormatPr baseColWidth="10" defaultColWidth="8.88671875" defaultRowHeight="14.4"/>
  <cols>
    <col min="1" max="2" width="9.109375" style="2" customWidth="1"/>
    <col min="3" max="3" width="20.6640625" style="2" customWidth="1"/>
    <col min="4" max="16384" width="8.88671875" style="2"/>
  </cols>
  <sheetData>
    <row r="1" spans="1:3">
      <c r="A1" s="25" t="s">
        <v>19</v>
      </c>
      <c r="B1" s="26" t="s">
        <v>34</v>
      </c>
    </row>
    <row r="2" spans="1:3">
      <c r="A2" s="25" t="s">
        <v>20</v>
      </c>
      <c r="B2" s="26"/>
    </row>
    <row r="3" spans="1:3">
      <c r="A3" s="25" t="s">
        <v>21</v>
      </c>
      <c r="B3" s="26" t="s">
        <v>24</v>
      </c>
    </row>
    <row r="4" spans="1:3">
      <c r="A4" s="25"/>
      <c r="B4" s="25"/>
    </row>
    <row r="5" spans="1:3">
      <c r="A5" s="27" t="s">
        <v>22</v>
      </c>
      <c r="B5" s="27" t="s">
        <v>23</v>
      </c>
      <c r="C5" s="3" t="s">
        <v>32</v>
      </c>
    </row>
    <row r="6" spans="1:3">
      <c r="A6" s="28">
        <v>1936</v>
      </c>
      <c r="B6" s="29" t="s">
        <v>0</v>
      </c>
      <c r="C6" s="2" t="str">
        <f>IFERROR(VLOOKUP(A6,'2026'!A$6:B$700,2,0),"Falta de reinscribir")</f>
        <v>Reinscrito</v>
      </c>
    </row>
    <row r="7" spans="1:3">
      <c r="A7" s="28">
        <v>1963</v>
      </c>
      <c r="B7" s="29" t="s">
        <v>1</v>
      </c>
      <c r="C7" s="2" t="str">
        <f>IFERROR(VLOOKUP(A7,'2026'!A$6:B$700,2,0),"Falta de reinscribir")</f>
        <v>Reinscrito</v>
      </c>
    </row>
    <row r="8" spans="1:3">
      <c r="A8" s="28">
        <v>1964</v>
      </c>
      <c r="B8" s="29" t="s">
        <v>0</v>
      </c>
      <c r="C8" s="2" t="str">
        <f>IFERROR(VLOOKUP(A8,'2026'!A$6:B$700,2,0),"Falta de reinscribir")</f>
        <v>Reinscrito</v>
      </c>
    </row>
    <row r="9" spans="1:3">
      <c r="A9" s="28">
        <v>1966</v>
      </c>
      <c r="B9" s="29" t="s">
        <v>1</v>
      </c>
      <c r="C9" s="2" t="str">
        <f>IFERROR(VLOOKUP(A9,'2026'!A$6:B$700,2,0),"Falta de reinscribir")</f>
        <v>Reinscrito</v>
      </c>
    </row>
    <row r="10" spans="1:3">
      <c r="A10" s="28">
        <v>2011</v>
      </c>
      <c r="B10" s="29" t="s">
        <v>3</v>
      </c>
      <c r="C10" s="2" t="str">
        <f>IFERROR(VLOOKUP(A10,'2026'!A$6:B$700,2,0),"Falta de reinscribir")</f>
        <v>Reinscrito</v>
      </c>
    </row>
    <row r="11" spans="1:3">
      <c r="A11" s="28">
        <v>2015</v>
      </c>
      <c r="B11" s="29" t="s">
        <v>0</v>
      </c>
      <c r="C11" s="2" t="str">
        <f>IFERROR(VLOOKUP(A11,'2026'!A$6:B$700,2,0),"Falta de reinscribir")</f>
        <v>Pendiente</v>
      </c>
    </row>
    <row r="12" spans="1:3">
      <c r="A12" s="28">
        <v>2019</v>
      </c>
      <c r="B12" s="29" t="s">
        <v>2</v>
      </c>
      <c r="C12" s="2" t="str">
        <f>IFERROR(VLOOKUP(A12,'2026'!A$6:B$700,2,0),"Falta de reinscribir")</f>
        <v>Reinscrito</v>
      </c>
    </row>
    <row r="13" spans="1:3">
      <c r="A13" s="28">
        <v>2020</v>
      </c>
      <c r="B13" s="29" t="s">
        <v>0</v>
      </c>
      <c r="C13" s="2" t="str">
        <f>IFERROR(VLOOKUP(A13,'2026'!A$6:B$700,2,0),"Falta de reinscribir")</f>
        <v>Reinscrito</v>
      </c>
    </row>
    <row r="14" spans="1:3">
      <c r="A14" s="28">
        <v>2021</v>
      </c>
      <c r="B14" s="29" t="s">
        <v>0</v>
      </c>
      <c r="C14" s="2" t="str">
        <f>IFERROR(VLOOKUP(A14,'2026'!A$6:B$700,2,0),"Falta de reinscribir")</f>
        <v>Reinscrito</v>
      </c>
    </row>
    <row r="15" spans="1:3">
      <c r="A15" s="28">
        <v>2023</v>
      </c>
      <c r="B15" s="29" t="s">
        <v>2</v>
      </c>
      <c r="C15" s="2" t="str">
        <f>IFERROR(VLOOKUP(A15,'2026'!A$6:B$700,2,0),"Falta de reinscribir")</f>
        <v>Reinscrito</v>
      </c>
    </row>
    <row r="16" spans="1:3">
      <c r="A16" s="28">
        <v>2024</v>
      </c>
      <c r="B16" s="29" t="s">
        <v>2</v>
      </c>
      <c r="C16" s="2" t="str">
        <f>IFERROR(VLOOKUP(A16,'2026'!A$6:B$700,2,0),"Falta de reinscribir")</f>
        <v>Reinscrito</v>
      </c>
    </row>
    <row r="17" spans="1:3">
      <c r="A17" s="28">
        <v>2030</v>
      </c>
      <c r="B17" s="29" t="s">
        <v>2</v>
      </c>
      <c r="C17" s="2" t="str">
        <f>IFERROR(VLOOKUP(A17,'2026'!A$6:B$700,2,0),"Falta de reinscribir")</f>
        <v>Reinscrito</v>
      </c>
    </row>
    <row r="18" spans="1:3">
      <c r="A18" s="28">
        <v>2035</v>
      </c>
      <c r="B18" s="29" t="s">
        <v>3</v>
      </c>
      <c r="C18" s="2" t="str">
        <f>IFERROR(VLOOKUP(A18,'2026'!A$6:B$700,2,0),"Falta de reinscribir")</f>
        <v>Reinscrito</v>
      </c>
    </row>
    <row r="19" spans="1:3">
      <c r="A19" s="28">
        <v>2037</v>
      </c>
      <c r="B19" s="29" t="s">
        <v>1</v>
      </c>
      <c r="C19" s="2" t="str">
        <f>IFERROR(VLOOKUP(A19,'2026'!A$6:B$700,2,0),"Falta de reinscribir")</f>
        <v>Pendiente</v>
      </c>
    </row>
    <row r="20" spans="1:3">
      <c r="A20" s="28">
        <v>2038</v>
      </c>
      <c r="B20" s="29" t="s">
        <v>3</v>
      </c>
      <c r="C20" s="2" t="str">
        <f>IFERROR(VLOOKUP(A20,'2026'!A$6:B$700,2,0),"Falta de reinscribir")</f>
        <v>Pendiente</v>
      </c>
    </row>
    <row r="21" spans="1:3">
      <c r="A21" s="28">
        <v>2040</v>
      </c>
      <c r="B21" s="29" t="s">
        <v>2</v>
      </c>
      <c r="C21" s="2" t="str">
        <f>IFERROR(VLOOKUP(A21,'2026'!A$6:B$700,2,0),"Falta de reinscribir")</f>
        <v>Reinscrito</v>
      </c>
    </row>
    <row r="22" spans="1:3">
      <c r="A22" s="28">
        <v>2044</v>
      </c>
      <c r="B22" s="29" t="s">
        <v>0</v>
      </c>
      <c r="C22" s="2" t="str">
        <f>IFERROR(VLOOKUP(A22,'2026'!A$6:B$700,2,0),"Falta de reinscribir")</f>
        <v>Reinscrito</v>
      </c>
    </row>
    <row r="23" spans="1:3">
      <c r="A23" s="28">
        <v>2046</v>
      </c>
      <c r="B23" s="29" t="s">
        <v>2</v>
      </c>
      <c r="C23" s="2" t="str">
        <f>IFERROR(VLOOKUP(A23,'2026'!A$6:B$700,2,0),"Falta de reinscribir")</f>
        <v>Reinscrito</v>
      </c>
    </row>
    <row r="24" spans="1:3">
      <c r="A24" s="28">
        <v>2061</v>
      </c>
      <c r="B24" s="29" t="s">
        <v>3</v>
      </c>
      <c r="C24" s="2" t="str">
        <f>IFERROR(VLOOKUP(A24,'2026'!A$6:B$700,2,0),"Falta de reinscribir")</f>
        <v>Reinscrito</v>
      </c>
    </row>
    <row r="25" spans="1:3">
      <c r="A25" s="28">
        <v>2068</v>
      </c>
      <c r="B25" s="29" t="s">
        <v>0</v>
      </c>
      <c r="C25" s="2" t="str">
        <f>IFERROR(VLOOKUP(A25,'2026'!A$6:B$700,2,0),"Falta de reinscribir")</f>
        <v>Pendiente</v>
      </c>
    </row>
    <row r="26" spans="1:3">
      <c r="A26" s="28">
        <v>2078</v>
      </c>
      <c r="B26" s="29" t="s">
        <v>3</v>
      </c>
      <c r="C26" s="2" t="str">
        <f>IFERROR(VLOOKUP(A26,'2026'!A$6:B$700,2,0),"Falta de reinscribir")</f>
        <v>Reinscrito</v>
      </c>
    </row>
    <row r="27" spans="1:3">
      <c r="A27" s="28">
        <v>2080</v>
      </c>
      <c r="B27" s="29" t="s">
        <v>1</v>
      </c>
      <c r="C27" s="2" t="str">
        <f>IFERROR(VLOOKUP(A27,'2026'!A$6:B$700,2,0),"Falta de reinscribir")</f>
        <v>Pendiente</v>
      </c>
    </row>
    <row r="28" spans="1:3">
      <c r="A28" s="28">
        <v>2082</v>
      </c>
      <c r="B28" s="29" t="s">
        <v>3</v>
      </c>
      <c r="C28" s="2" t="str">
        <f>IFERROR(VLOOKUP(A28,'2026'!A$6:B$700,2,0),"Falta de reinscribir")</f>
        <v>Pendiente</v>
      </c>
    </row>
    <row r="29" spans="1:3">
      <c r="A29" s="28">
        <v>2083</v>
      </c>
      <c r="B29" s="29" t="s">
        <v>4</v>
      </c>
      <c r="C29" s="2" t="str">
        <f>IFERROR(VLOOKUP(A29,'2026'!A$6:B$700,2,0),"Falta de reinscribir")</f>
        <v>Reinscrito</v>
      </c>
    </row>
    <row r="30" spans="1:3">
      <c r="A30" s="28">
        <v>2084</v>
      </c>
      <c r="B30" s="29" t="s">
        <v>3</v>
      </c>
      <c r="C30" s="2" t="str">
        <f>IFERROR(VLOOKUP(A30,'2026'!A$6:B$700,2,0),"Falta de reinscribir")</f>
        <v>Reinscrito</v>
      </c>
    </row>
    <row r="31" spans="1:3">
      <c r="A31" s="28">
        <v>2087</v>
      </c>
      <c r="B31" s="29" t="s">
        <v>5</v>
      </c>
      <c r="C31" s="2" t="str">
        <f>IFERROR(VLOOKUP(A31,'2026'!A$6:B$700,2,0),"Falta de reinscribir")</f>
        <v>Reinscrito</v>
      </c>
    </row>
    <row r="32" spans="1:3">
      <c r="A32" s="28">
        <v>2088</v>
      </c>
      <c r="B32" s="29" t="s">
        <v>2</v>
      </c>
      <c r="C32" s="2" t="str">
        <f>IFERROR(VLOOKUP(A32,'2026'!A$6:B$700,2,0),"Falta de reinscribir")</f>
        <v>Reinscrito</v>
      </c>
    </row>
    <row r="33" spans="1:3">
      <c r="A33" s="28">
        <v>2092</v>
      </c>
      <c r="B33" s="29" t="s">
        <v>5</v>
      </c>
      <c r="C33" s="2" t="str">
        <f>IFERROR(VLOOKUP(A33,'2026'!A$6:B$700,2,0),"Falta de reinscribir")</f>
        <v>Reinscrito</v>
      </c>
    </row>
    <row r="34" spans="1:3">
      <c r="A34" s="28">
        <v>2093</v>
      </c>
      <c r="B34" s="29" t="s">
        <v>2</v>
      </c>
      <c r="C34" s="2" t="str">
        <f>IFERROR(VLOOKUP(A34,'2026'!A$6:B$700,2,0),"Falta de reinscribir")</f>
        <v>Reinscrito</v>
      </c>
    </row>
    <row r="35" spans="1:3">
      <c r="A35" s="28">
        <v>2095</v>
      </c>
      <c r="B35" s="29" t="s">
        <v>4</v>
      </c>
      <c r="C35" s="2" t="str">
        <f>IFERROR(VLOOKUP(A35,'2026'!A$6:B$700,2,0),"Falta de reinscribir")</f>
        <v>Reinscrito</v>
      </c>
    </row>
    <row r="36" spans="1:3">
      <c r="A36" s="28">
        <v>2097</v>
      </c>
      <c r="B36" s="29" t="s">
        <v>3</v>
      </c>
      <c r="C36" s="2" t="str">
        <f>IFERROR(VLOOKUP(A36,'2026'!A$6:B$700,2,0),"Falta de reinscribir")</f>
        <v>Reinscrito</v>
      </c>
    </row>
    <row r="37" spans="1:3">
      <c r="A37" s="28">
        <v>2098</v>
      </c>
      <c r="B37" s="29" t="s">
        <v>3</v>
      </c>
      <c r="C37" s="2" t="str">
        <f>IFERROR(VLOOKUP(A37,'2026'!A$6:B$700,2,0),"Falta de reinscribir")</f>
        <v>Reinscrito</v>
      </c>
    </row>
    <row r="38" spans="1:3">
      <c r="A38" s="28">
        <v>2100</v>
      </c>
      <c r="B38" s="29" t="s">
        <v>3</v>
      </c>
      <c r="C38" s="2" t="str">
        <f>IFERROR(VLOOKUP(A38,'2026'!A$6:B$700,2,0),"Falta de reinscribir")</f>
        <v>Reinscrito</v>
      </c>
    </row>
    <row r="39" spans="1:3">
      <c r="A39" s="28">
        <v>2104</v>
      </c>
      <c r="B39" s="29" t="s">
        <v>2</v>
      </c>
      <c r="C39" s="2" t="str">
        <f>IFERROR(VLOOKUP(A39,'2026'!A$6:B$700,2,0),"Falta de reinscribir")</f>
        <v>Reinscrito</v>
      </c>
    </row>
    <row r="40" spans="1:3">
      <c r="A40" s="28">
        <v>2105</v>
      </c>
      <c r="B40" s="29" t="s">
        <v>2</v>
      </c>
      <c r="C40" s="2" t="str">
        <f>IFERROR(VLOOKUP(A40,'2026'!A$6:B$700,2,0),"Falta de reinscribir")</f>
        <v>Reinscrito</v>
      </c>
    </row>
    <row r="41" spans="1:3">
      <c r="A41" s="28">
        <v>2106</v>
      </c>
      <c r="B41" s="29" t="s">
        <v>2</v>
      </c>
      <c r="C41" s="2" t="str">
        <f>IFERROR(VLOOKUP(A41,'2026'!A$6:B$700,2,0),"Falta de reinscribir")</f>
        <v>Reinscrito</v>
      </c>
    </row>
    <row r="42" spans="1:3">
      <c r="A42" s="28">
        <v>2107</v>
      </c>
      <c r="B42" s="29" t="s">
        <v>2</v>
      </c>
      <c r="C42" s="2" t="str">
        <f>IFERROR(VLOOKUP(A42,'2026'!A$6:B$700,2,0),"Falta de reinscribir")</f>
        <v>Reinscrito</v>
      </c>
    </row>
    <row r="43" spans="1:3">
      <c r="A43" s="28">
        <v>2110</v>
      </c>
      <c r="B43" s="29" t="s">
        <v>4</v>
      </c>
      <c r="C43" s="2" t="str">
        <f>IFERROR(VLOOKUP(A43,'2026'!A$6:B$700,2,0),"Falta de reinscribir")</f>
        <v>Reinscrito</v>
      </c>
    </row>
    <row r="44" spans="1:3">
      <c r="A44" s="28">
        <v>2111</v>
      </c>
      <c r="B44" s="29" t="s">
        <v>5</v>
      </c>
      <c r="C44" s="2" t="str">
        <f>IFERROR(VLOOKUP(A44,'2026'!A$6:B$700,2,0),"Falta de reinscribir")</f>
        <v>Reinscrito</v>
      </c>
    </row>
    <row r="45" spans="1:3">
      <c r="A45" s="28">
        <v>2112</v>
      </c>
      <c r="B45" s="29" t="s">
        <v>1</v>
      </c>
      <c r="C45" s="2" t="str">
        <f>IFERROR(VLOOKUP(A45,'2026'!A$6:B$700,2,0),"Falta de reinscribir")</f>
        <v>Reinscrito</v>
      </c>
    </row>
    <row r="46" spans="1:3">
      <c r="A46" s="28">
        <v>2115</v>
      </c>
      <c r="B46" s="29" t="s">
        <v>3</v>
      </c>
      <c r="C46" s="2" t="str">
        <f>IFERROR(VLOOKUP(A46,'2026'!A$6:B$700,2,0),"Falta de reinscribir")</f>
        <v>Pendiente</v>
      </c>
    </row>
    <row r="47" spans="1:3">
      <c r="A47" s="28">
        <v>2119</v>
      </c>
      <c r="B47" s="29" t="s">
        <v>2</v>
      </c>
      <c r="C47" s="2" t="str">
        <f>IFERROR(VLOOKUP(A47,'2026'!A$6:B$700,2,0),"Falta de reinscribir")</f>
        <v>Reinscrito</v>
      </c>
    </row>
    <row r="48" spans="1:3">
      <c r="A48" s="28">
        <v>2121</v>
      </c>
      <c r="B48" s="29" t="s">
        <v>5</v>
      </c>
      <c r="C48" s="2" t="str">
        <f>IFERROR(VLOOKUP(A48,'2026'!A$6:B$700,2,0),"Falta de reinscribir")</f>
        <v>Pendiente</v>
      </c>
    </row>
    <row r="49" spans="1:3">
      <c r="A49" s="28">
        <v>2129</v>
      </c>
      <c r="B49" s="29" t="s">
        <v>3</v>
      </c>
      <c r="C49" s="2" t="str">
        <f>IFERROR(VLOOKUP(A49,'2026'!A$6:B$700,2,0),"Falta de reinscribir")</f>
        <v>Reinscrito</v>
      </c>
    </row>
    <row r="50" spans="1:3">
      <c r="A50" s="28">
        <v>2130</v>
      </c>
      <c r="B50" s="29" t="s">
        <v>3</v>
      </c>
      <c r="C50" s="2" t="str">
        <f>IFERROR(VLOOKUP(A50,'2026'!A$6:B$700,2,0),"Falta de reinscribir")</f>
        <v>Baja</v>
      </c>
    </row>
    <row r="51" spans="1:3">
      <c r="A51" s="28">
        <v>2135</v>
      </c>
      <c r="B51" s="29" t="s">
        <v>5</v>
      </c>
      <c r="C51" s="2" t="str">
        <f>IFERROR(VLOOKUP(A51,'2026'!A$6:B$700,2,0),"Falta de reinscribir")</f>
        <v>Reinscrito</v>
      </c>
    </row>
    <row r="52" spans="1:3">
      <c r="A52" s="28">
        <v>2140</v>
      </c>
      <c r="B52" s="29" t="s">
        <v>2</v>
      </c>
      <c r="C52" s="2" t="str">
        <f>IFERROR(VLOOKUP(A52,'2026'!A$6:B$700,2,0),"Falta de reinscribir")</f>
        <v>Reinscrito</v>
      </c>
    </row>
    <row r="53" spans="1:3">
      <c r="A53" s="28">
        <v>2146</v>
      </c>
      <c r="B53" s="29" t="s">
        <v>5</v>
      </c>
      <c r="C53" s="2" t="str">
        <f>IFERROR(VLOOKUP(A53,'2026'!A$6:B$700,2,0),"Falta de reinscribir")</f>
        <v>Reinscrito</v>
      </c>
    </row>
    <row r="54" spans="1:3">
      <c r="A54" s="28">
        <v>2155</v>
      </c>
      <c r="B54" s="29" t="s">
        <v>0</v>
      </c>
      <c r="C54" s="2" t="str">
        <f>IFERROR(VLOOKUP(A54,'2026'!A$6:B$700,2,0),"Falta de reinscribir")</f>
        <v>Reinscrito</v>
      </c>
    </row>
    <row r="55" spans="1:3">
      <c r="A55" s="28">
        <v>2156</v>
      </c>
      <c r="B55" s="29" t="s">
        <v>1</v>
      </c>
      <c r="C55" s="2" t="str">
        <f>IFERROR(VLOOKUP(A55,'2026'!A$6:B$700,2,0),"Falta de reinscribir")</f>
        <v>Reinscrito</v>
      </c>
    </row>
    <row r="56" spans="1:3">
      <c r="A56" s="28">
        <v>2161</v>
      </c>
      <c r="B56" s="29" t="s">
        <v>4</v>
      </c>
      <c r="C56" s="2" t="str">
        <f>IFERROR(VLOOKUP(A56,'2026'!A$6:B$700,2,0),"Falta de reinscribir")</f>
        <v>Reinscrito</v>
      </c>
    </row>
    <row r="57" spans="1:3">
      <c r="A57" s="28">
        <v>2162</v>
      </c>
      <c r="B57" s="29" t="s">
        <v>7</v>
      </c>
      <c r="C57" s="2" t="str">
        <f>IFERROR(VLOOKUP(A57,'2026'!A$6:B$700,2,0),"Falta de reinscribir")</f>
        <v>Reinscrito</v>
      </c>
    </row>
    <row r="58" spans="1:3">
      <c r="A58" s="28">
        <v>2172</v>
      </c>
      <c r="B58" s="29" t="s">
        <v>5</v>
      </c>
      <c r="C58" s="2" t="str">
        <f>IFERROR(VLOOKUP(A58,'2026'!A$6:B$700,2,0),"Falta de reinscribir")</f>
        <v>Reinscrito</v>
      </c>
    </row>
    <row r="59" spans="1:3">
      <c r="A59" s="28">
        <v>2173</v>
      </c>
      <c r="B59" s="29" t="s">
        <v>5</v>
      </c>
      <c r="C59" s="2" t="str">
        <f>IFERROR(VLOOKUP(A59,'2026'!A$6:B$700,2,0),"Falta de reinscribir")</f>
        <v>Reinscrito</v>
      </c>
    </row>
    <row r="60" spans="1:3">
      <c r="A60" s="28">
        <v>2174</v>
      </c>
      <c r="B60" s="29" t="s">
        <v>7</v>
      </c>
      <c r="C60" s="2" t="str">
        <f>IFERROR(VLOOKUP(A60,'2026'!A$6:B$700,2,0),"Falta de reinscribir")</f>
        <v>Reinscrito</v>
      </c>
    </row>
    <row r="61" spans="1:3">
      <c r="A61" s="28">
        <v>2175</v>
      </c>
      <c r="B61" s="29" t="s">
        <v>1</v>
      </c>
      <c r="C61" s="2" t="str">
        <f>IFERROR(VLOOKUP(A61,'2026'!A$6:B$700,2,0),"Falta de reinscribir")</f>
        <v>Reinscrito</v>
      </c>
    </row>
    <row r="62" spans="1:3">
      <c r="A62" s="28">
        <v>2176</v>
      </c>
      <c r="B62" s="29" t="s">
        <v>7</v>
      </c>
      <c r="C62" s="2" t="str">
        <f>IFERROR(VLOOKUP(A62,'2026'!A$6:B$700,2,0),"Falta de reinscribir")</f>
        <v>Pendiente</v>
      </c>
    </row>
    <row r="63" spans="1:3">
      <c r="A63" s="28">
        <v>2181</v>
      </c>
      <c r="B63" s="29" t="s">
        <v>7</v>
      </c>
      <c r="C63" s="2" t="str">
        <f>IFERROR(VLOOKUP(A63,'2026'!A$6:B$700,2,0),"Falta de reinscribir")</f>
        <v>Reinscrito</v>
      </c>
    </row>
    <row r="64" spans="1:3">
      <c r="A64" s="28">
        <v>2182</v>
      </c>
      <c r="B64" s="29" t="s">
        <v>5</v>
      </c>
      <c r="C64" s="2" t="str">
        <f>IFERROR(VLOOKUP(A64,'2026'!A$6:B$700,2,0),"Falta de reinscribir")</f>
        <v>Reinscrito</v>
      </c>
    </row>
    <row r="65" spans="1:3">
      <c r="A65" s="28">
        <v>2184</v>
      </c>
      <c r="B65" s="29" t="s">
        <v>7</v>
      </c>
      <c r="C65" s="2" t="str">
        <f>IFERROR(VLOOKUP(A65,'2026'!A$6:B$700,2,0),"Falta de reinscribir")</f>
        <v>Pendiente</v>
      </c>
    </row>
    <row r="66" spans="1:3">
      <c r="A66" s="28">
        <v>2187</v>
      </c>
      <c r="B66" s="29" t="s">
        <v>0</v>
      </c>
      <c r="C66" s="2" t="str">
        <f>IFERROR(VLOOKUP(A66,'2026'!A$6:B$700,2,0),"Falta de reinscribir")</f>
        <v>Pendiente</v>
      </c>
    </row>
    <row r="67" spans="1:3">
      <c r="A67" s="28">
        <v>2193</v>
      </c>
      <c r="B67" s="29" t="s">
        <v>1</v>
      </c>
      <c r="C67" s="2" t="str">
        <f>IFERROR(VLOOKUP(A67,'2026'!A$6:B$700,2,0),"Falta de reinscribir")</f>
        <v>Reinscrito</v>
      </c>
    </row>
    <row r="68" spans="1:3">
      <c r="A68" s="28">
        <v>2194</v>
      </c>
      <c r="B68" s="29" t="s">
        <v>7</v>
      </c>
      <c r="C68" s="2" t="str">
        <f>IFERROR(VLOOKUP(A68,'2026'!A$6:B$700,2,0),"Falta de reinscribir")</f>
        <v>Baja</v>
      </c>
    </row>
    <row r="69" spans="1:3">
      <c r="A69" s="28">
        <v>2195</v>
      </c>
      <c r="B69" s="29" t="s">
        <v>4</v>
      </c>
      <c r="C69" s="2" t="str">
        <f>IFERROR(VLOOKUP(A69,'2026'!A$6:B$700,2,0),"Falta de reinscribir")</f>
        <v>Reinscrito</v>
      </c>
    </row>
    <row r="70" spans="1:3">
      <c r="A70" s="28">
        <v>2200</v>
      </c>
      <c r="B70" s="29" t="s">
        <v>7</v>
      </c>
      <c r="C70" s="2" t="str">
        <f>IFERROR(VLOOKUP(A70,'2026'!A$6:B$700,2,0),"Falta de reinscribir")</f>
        <v>Reinscrito</v>
      </c>
    </row>
    <row r="71" spans="1:3">
      <c r="A71" s="28">
        <v>2202</v>
      </c>
      <c r="B71" s="29" t="s">
        <v>1</v>
      </c>
      <c r="C71" s="2" t="str">
        <f>IFERROR(VLOOKUP(A71,'2026'!A$6:B$700,2,0),"Falta de reinscribir")</f>
        <v>Reinscrito</v>
      </c>
    </row>
    <row r="72" spans="1:3">
      <c r="A72" s="28">
        <v>2209</v>
      </c>
      <c r="B72" s="29" t="s">
        <v>7</v>
      </c>
      <c r="C72" s="2" t="str">
        <f>IFERROR(VLOOKUP(A72,'2026'!A$6:B$700,2,0),"Falta de reinscribir")</f>
        <v>Reinscrito</v>
      </c>
    </row>
    <row r="73" spans="1:3">
      <c r="A73" s="28">
        <v>2219</v>
      </c>
      <c r="B73" s="29" t="s">
        <v>1</v>
      </c>
      <c r="C73" s="2" t="str">
        <f>IFERROR(VLOOKUP(A73,'2026'!A$6:B$700,2,0),"Falta de reinscribir")</f>
        <v>Reinscrito</v>
      </c>
    </row>
    <row r="74" spans="1:3">
      <c r="A74" s="28">
        <v>2220</v>
      </c>
      <c r="B74" s="29" t="s">
        <v>9</v>
      </c>
      <c r="C74" s="2" t="str">
        <f>IFERROR(VLOOKUP(A74,'2026'!A$6:B$700,2,0),"Falta de reinscribir")</f>
        <v>Baja</v>
      </c>
    </row>
    <row r="75" spans="1:3">
      <c r="A75" s="28">
        <v>2222</v>
      </c>
      <c r="B75" s="29" t="s">
        <v>0</v>
      </c>
      <c r="C75" s="2" t="str">
        <f>IFERROR(VLOOKUP(A75,'2026'!A$6:B$700,2,0),"Falta de reinscribir")</f>
        <v>Pendiente</v>
      </c>
    </row>
    <row r="76" spans="1:3">
      <c r="A76" s="28">
        <v>2227</v>
      </c>
      <c r="B76" s="29" t="s">
        <v>7</v>
      </c>
      <c r="C76" s="2" t="str">
        <f>IFERROR(VLOOKUP(A76,'2026'!A$6:B$700,2,0),"Falta de reinscribir")</f>
        <v>Reinscrito</v>
      </c>
    </row>
    <row r="77" spans="1:3">
      <c r="A77" s="28">
        <v>2231</v>
      </c>
      <c r="B77" s="29" t="s">
        <v>9</v>
      </c>
      <c r="C77" s="2" t="str">
        <f>IFERROR(VLOOKUP(A77,'2026'!A$6:B$700,2,0),"Falta de reinscribir")</f>
        <v>Pendiente</v>
      </c>
    </row>
    <row r="78" spans="1:3">
      <c r="A78" s="28">
        <v>2235</v>
      </c>
      <c r="B78" s="29" t="s">
        <v>1</v>
      </c>
      <c r="C78" s="2" t="str">
        <f>IFERROR(VLOOKUP(A78,'2026'!A$6:B$700,2,0),"Falta de reinscribir")</f>
        <v>Reinscrito</v>
      </c>
    </row>
    <row r="79" spans="1:3">
      <c r="A79" s="28">
        <v>2238</v>
      </c>
      <c r="B79" s="29" t="s">
        <v>5</v>
      </c>
      <c r="C79" s="2" t="str">
        <f>IFERROR(VLOOKUP(A79,'2026'!A$6:B$700,2,0),"Falta de reinscribir")</f>
        <v>Pendiente</v>
      </c>
    </row>
    <row r="80" spans="1:3">
      <c r="A80" s="28">
        <v>2244</v>
      </c>
      <c r="B80" s="29" t="s">
        <v>8</v>
      </c>
      <c r="C80" s="2" t="str">
        <f>IFERROR(VLOOKUP(A80,'2026'!A$6:B$700,2,0),"Falta de reinscribir")</f>
        <v>Reinscrito</v>
      </c>
    </row>
    <row r="81" spans="1:3">
      <c r="A81" s="28">
        <v>2246</v>
      </c>
      <c r="B81" s="29" t="s">
        <v>6</v>
      </c>
      <c r="C81" s="2" t="str">
        <f>IFERROR(VLOOKUP(A81,'2026'!A$6:B$700,2,0),"Falta de reinscribir")</f>
        <v>Pendiente</v>
      </c>
    </row>
    <row r="82" spans="1:3">
      <c r="A82" s="28">
        <v>2249</v>
      </c>
      <c r="B82" s="29" t="s">
        <v>6</v>
      </c>
      <c r="C82" s="2" t="str">
        <f>IFERROR(VLOOKUP(A82,'2026'!A$6:B$700,2,0),"Falta de reinscribir")</f>
        <v>Reinscrito</v>
      </c>
    </row>
    <row r="83" spans="1:3">
      <c r="A83" s="28">
        <v>2251</v>
      </c>
      <c r="B83" s="29" t="s">
        <v>8</v>
      </c>
      <c r="C83" s="2" t="str">
        <f>IFERROR(VLOOKUP(A83,'2026'!A$6:B$700,2,0),"Falta de reinscribir")</f>
        <v>Reinscrito</v>
      </c>
    </row>
    <row r="84" spans="1:3">
      <c r="A84" s="28">
        <v>2252</v>
      </c>
      <c r="B84" s="29" t="s">
        <v>9</v>
      </c>
      <c r="C84" s="2" t="str">
        <f>IFERROR(VLOOKUP(A84,'2026'!A$6:B$700,2,0),"Falta de reinscribir")</f>
        <v>Reinscrito</v>
      </c>
    </row>
    <row r="85" spans="1:3">
      <c r="A85" s="28">
        <v>2253</v>
      </c>
      <c r="B85" s="29" t="s">
        <v>6</v>
      </c>
      <c r="C85" s="2" t="str">
        <f>IFERROR(VLOOKUP(A85,'2026'!A$6:B$700,2,0),"Falta de reinscribir")</f>
        <v>Reinscrito</v>
      </c>
    </row>
    <row r="86" spans="1:3">
      <c r="A86" s="28">
        <v>2254</v>
      </c>
      <c r="B86" s="29" t="s">
        <v>7</v>
      </c>
      <c r="C86" s="2" t="str">
        <f>IFERROR(VLOOKUP(A86,'2026'!A$6:B$700,2,0),"Falta de reinscribir")</f>
        <v>Baja</v>
      </c>
    </row>
    <row r="87" spans="1:3">
      <c r="A87" s="28">
        <v>2255</v>
      </c>
      <c r="B87" s="29" t="s">
        <v>6</v>
      </c>
      <c r="C87" s="2" t="str">
        <f>IFERROR(VLOOKUP(A87,'2026'!A$6:B$700,2,0),"Falta de reinscribir")</f>
        <v>Reinscrito</v>
      </c>
    </row>
    <row r="88" spans="1:3">
      <c r="A88" s="28">
        <v>2256</v>
      </c>
      <c r="B88" s="29" t="s">
        <v>7</v>
      </c>
      <c r="C88" s="2" t="str">
        <f>IFERROR(VLOOKUP(A88,'2026'!A$6:B$700,2,0),"Falta de reinscribir")</f>
        <v>Pendiente</v>
      </c>
    </row>
    <row r="89" spans="1:3">
      <c r="A89" s="28">
        <v>2257</v>
      </c>
      <c r="B89" s="29" t="s">
        <v>8</v>
      </c>
      <c r="C89" s="2" t="str">
        <f>IFERROR(VLOOKUP(A89,'2026'!A$6:B$700,2,0),"Falta de reinscribir")</f>
        <v>Reinscrito</v>
      </c>
    </row>
    <row r="90" spans="1:3">
      <c r="A90" s="28">
        <v>2258</v>
      </c>
      <c r="B90" s="29" t="s">
        <v>8</v>
      </c>
      <c r="C90" s="2" t="str">
        <f>IFERROR(VLOOKUP(A90,'2026'!A$6:B$700,2,0),"Falta de reinscribir")</f>
        <v>Reinscrito</v>
      </c>
    </row>
    <row r="91" spans="1:3">
      <c r="A91" s="28">
        <v>2261</v>
      </c>
      <c r="B91" s="29" t="s">
        <v>9</v>
      </c>
      <c r="C91" s="2" t="str">
        <f>IFERROR(VLOOKUP(A91,'2026'!A$6:B$700,2,0),"Falta de reinscribir")</f>
        <v>Reinscrito</v>
      </c>
    </row>
    <row r="92" spans="1:3">
      <c r="A92" s="28">
        <v>2263</v>
      </c>
      <c r="B92" s="29" t="s">
        <v>5</v>
      </c>
      <c r="C92" s="2" t="str">
        <f>IFERROR(VLOOKUP(A92,'2026'!A$6:B$700,2,0),"Falta de reinscribir")</f>
        <v>Reinscrito</v>
      </c>
    </row>
    <row r="93" spans="1:3">
      <c r="A93" s="28">
        <v>2266</v>
      </c>
      <c r="B93" s="29" t="s">
        <v>4</v>
      </c>
      <c r="C93" s="2" t="str">
        <f>IFERROR(VLOOKUP(A93,'2026'!A$6:B$700,2,0),"Falta de reinscribir")</f>
        <v>Reinscrito</v>
      </c>
    </row>
    <row r="94" spans="1:3">
      <c r="A94" s="28">
        <v>2270</v>
      </c>
      <c r="B94" s="29" t="s">
        <v>11</v>
      </c>
      <c r="C94" s="2" t="str">
        <f>IFERROR(VLOOKUP(A94,'2026'!A$6:B$700,2,0),"Falta de reinscribir")</f>
        <v>Reinscrito</v>
      </c>
    </row>
    <row r="95" spans="1:3">
      <c r="A95" s="28">
        <v>2271</v>
      </c>
      <c r="B95" s="29" t="s">
        <v>8</v>
      </c>
      <c r="C95" s="2" t="str">
        <f>IFERROR(VLOOKUP(A95,'2026'!A$6:B$700,2,0),"Falta de reinscribir")</f>
        <v>Reinscrito</v>
      </c>
    </row>
    <row r="96" spans="1:3">
      <c r="A96" s="28">
        <v>2274</v>
      </c>
      <c r="B96" s="29" t="s">
        <v>4</v>
      </c>
      <c r="C96" s="2" t="str">
        <f>IFERROR(VLOOKUP(A96,'2026'!A$6:B$700,2,0),"Falta de reinscribir")</f>
        <v>Reinscrito</v>
      </c>
    </row>
    <row r="97" spans="1:3">
      <c r="A97" s="28">
        <v>2277</v>
      </c>
      <c r="B97" s="29" t="s">
        <v>9</v>
      </c>
      <c r="C97" s="2" t="str">
        <f>IFERROR(VLOOKUP(A97,'2026'!A$6:B$700,2,0),"Falta de reinscribir")</f>
        <v>Reinscrito</v>
      </c>
    </row>
    <row r="98" spans="1:3">
      <c r="A98" s="28">
        <v>2282</v>
      </c>
      <c r="B98" s="29" t="s">
        <v>8</v>
      </c>
      <c r="C98" s="2" t="str">
        <f>IFERROR(VLOOKUP(A98,'2026'!A$6:B$700,2,0),"Falta de reinscribir")</f>
        <v>Reinscrito</v>
      </c>
    </row>
    <row r="99" spans="1:3">
      <c r="A99" s="28">
        <v>2283</v>
      </c>
      <c r="B99" s="29" t="s">
        <v>6</v>
      </c>
      <c r="C99" s="2" t="str">
        <f>IFERROR(VLOOKUP(A99,'2026'!A$6:B$700,2,0),"Falta de reinscribir")</f>
        <v>Reinscrito</v>
      </c>
    </row>
    <row r="100" spans="1:3">
      <c r="A100" s="28">
        <v>2285</v>
      </c>
      <c r="B100" s="29" t="s">
        <v>8</v>
      </c>
      <c r="C100" s="2" t="str">
        <f>IFERROR(VLOOKUP(A100,'2026'!A$6:B$700,2,0),"Falta de reinscribir")</f>
        <v>Reinscrito</v>
      </c>
    </row>
    <row r="101" spans="1:3">
      <c r="A101" s="28">
        <v>2286</v>
      </c>
      <c r="B101" s="29" t="s">
        <v>7</v>
      </c>
      <c r="C101" s="2" t="str">
        <f>IFERROR(VLOOKUP(A101,'2026'!A$6:B$700,2,0),"Falta de reinscribir")</f>
        <v>Reinscrito</v>
      </c>
    </row>
    <row r="102" spans="1:3">
      <c r="A102" s="28">
        <v>2288</v>
      </c>
      <c r="B102" s="29" t="s">
        <v>0</v>
      </c>
      <c r="C102" s="2" t="str">
        <f>IFERROR(VLOOKUP(A102,'2026'!A$6:B$700,2,0),"Falta de reinscribir")</f>
        <v>Reinscrito</v>
      </c>
    </row>
    <row r="103" spans="1:3">
      <c r="A103" s="28">
        <v>2289</v>
      </c>
      <c r="B103" s="29" t="s">
        <v>3</v>
      </c>
      <c r="C103" s="2" t="str">
        <f>IFERROR(VLOOKUP(A103,'2026'!A$6:B$700,2,0),"Falta de reinscribir")</f>
        <v>Reinscrito</v>
      </c>
    </row>
    <row r="104" spans="1:3">
      <c r="A104" s="28">
        <v>2299</v>
      </c>
      <c r="B104" s="29" t="s">
        <v>8</v>
      </c>
      <c r="C104" s="2" t="str">
        <f>IFERROR(VLOOKUP(A104,'2026'!A$6:B$700,2,0),"Falta de reinscribir")</f>
        <v>Reinscrito</v>
      </c>
    </row>
    <row r="105" spans="1:3">
      <c r="A105" s="28">
        <v>2302</v>
      </c>
      <c r="B105" s="29" t="s">
        <v>2</v>
      </c>
      <c r="C105" s="2" t="str">
        <f>IFERROR(VLOOKUP(A105,'2026'!A$6:B$700,2,0),"Falta de reinscribir")</f>
        <v>Reinscrito</v>
      </c>
    </row>
    <row r="106" spans="1:3">
      <c r="A106" s="28">
        <v>2303</v>
      </c>
      <c r="B106" s="29" t="s">
        <v>5</v>
      </c>
      <c r="C106" s="2" t="str">
        <f>IFERROR(VLOOKUP(A106,'2026'!A$6:B$700,2,0),"Falta de reinscribir")</f>
        <v>Reinscrito</v>
      </c>
    </row>
    <row r="107" spans="1:3">
      <c r="A107" s="28">
        <v>2320</v>
      </c>
      <c r="B107" s="29" t="s">
        <v>9</v>
      </c>
      <c r="C107" s="2" t="str">
        <f>IFERROR(VLOOKUP(A107,'2026'!A$6:B$700,2,0),"Falta de reinscribir")</f>
        <v>Reinscrito</v>
      </c>
    </row>
    <row r="108" spans="1:3">
      <c r="A108" s="28">
        <v>2322</v>
      </c>
      <c r="B108" s="29" t="s">
        <v>9</v>
      </c>
      <c r="C108" s="2" t="str">
        <f>IFERROR(VLOOKUP(A108,'2026'!A$6:B$700,2,0),"Falta de reinscribir")</f>
        <v>Reinscrito</v>
      </c>
    </row>
    <row r="109" spans="1:3">
      <c r="A109" s="28">
        <v>2326</v>
      </c>
      <c r="B109" s="29" t="s">
        <v>3</v>
      </c>
      <c r="C109" s="2" t="str">
        <f>IFERROR(VLOOKUP(A109,'2026'!A$6:B$700,2,0),"Falta de reinscribir")</f>
        <v>Reinscrito</v>
      </c>
    </row>
    <row r="110" spans="1:3">
      <c r="A110" s="28">
        <v>2328</v>
      </c>
      <c r="B110" s="29" t="s">
        <v>6</v>
      </c>
      <c r="C110" s="2" t="str">
        <f>IFERROR(VLOOKUP(A110,'2026'!A$6:B$700,2,0),"Falta de reinscribir")</f>
        <v>Reinscrito</v>
      </c>
    </row>
    <row r="111" spans="1:3">
      <c r="A111" s="28">
        <v>2331</v>
      </c>
      <c r="B111" s="29" t="s">
        <v>8</v>
      </c>
      <c r="C111" s="2" t="str">
        <f>IFERROR(VLOOKUP(A111,'2026'!A$6:B$700,2,0),"Falta de reinscribir")</f>
        <v>Reinscrito</v>
      </c>
    </row>
    <row r="112" spans="1:3">
      <c r="A112" s="28">
        <v>2332</v>
      </c>
      <c r="B112" s="29" t="s">
        <v>9</v>
      </c>
      <c r="C112" s="2" t="str">
        <f>IFERROR(VLOOKUP(A112,'2026'!A$6:B$700,2,0),"Falta de reinscribir")</f>
        <v>Reinscrito</v>
      </c>
    </row>
    <row r="113" spans="1:3">
      <c r="A113" s="28">
        <v>2334</v>
      </c>
      <c r="B113" s="29" t="s">
        <v>6</v>
      </c>
      <c r="C113" s="2" t="str">
        <f>IFERROR(VLOOKUP(A113,'2026'!A$6:B$700,2,0),"Falta de reinscribir")</f>
        <v>Reinscrito</v>
      </c>
    </row>
    <row r="114" spans="1:3">
      <c r="A114" s="28">
        <v>2336</v>
      </c>
      <c r="B114" s="29" t="s">
        <v>5</v>
      </c>
      <c r="C114" s="2" t="str">
        <f>IFERROR(VLOOKUP(A114,'2026'!A$6:B$700,2,0),"Falta de reinscribir")</f>
        <v>Pendiente</v>
      </c>
    </row>
    <row r="115" spans="1:3">
      <c r="A115" s="28">
        <v>2338</v>
      </c>
      <c r="B115" s="29" t="s">
        <v>8</v>
      </c>
      <c r="C115" s="2" t="str">
        <f>IFERROR(VLOOKUP(A115,'2026'!A$6:B$700,2,0),"Falta de reinscribir")</f>
        <v>Reinscrito</v>
      </c>
    </row>
    <row r="116" spans="1:3">
      <c r="A116" s="28">
        <v>2341</v>
      </c>
      <c r="B116" s="29" t="s">
        <v>9</v>
      </c>
      <c r="C116" s="2" t="str">
        <f>IFERROR(VLOOKUP(A116,'2026'!A$6:B$700,2,0),"Falta de reinscribir")</f>
        <v>Pendiente</v>
      </c>
    </row>
    <row r="117" spans="1:3">
      <c r="A117" s="28">
        <v>2342</v>
      </c>
      <c r="B117" s="29" t="s">
        <v>8</v>
      </c>
      <c r="C117" s="2" t="str">
        <f>IFERROR(VLOOKUP(A117,'2026'!A$6:B$700,2,0),"Falta de reinscribir")</f>
        <v>Reinscrito</v>
      </c>
    </row>
    <row r="118" spans="1:3">
      <c r="A118" s="28">
        <v>2344</v>
      </c>
      <c r="B118" s="29" t="s">
        <v>6</v>
      </c>
      <c r="C118" s="2" t="str">
        <f>IFERROR(VLOOKUP(A118,'2026'!A$6:B$700,2,0),"Falta de reinscribir")</f>
        <v>Reinscrito</v>
      </c>
    </row>
    <row r="119" spans="1:3">
      <c r="A119" s="28">
        <v>2349</v>
      </c>
      <c r="B119" s="29" t="s">
        <v>8</v>
      </c>
      <c r="C119" s="2" t="str">
        <f>IFERROR(VLOOKUP(A119,'2026'!A$6:B$700,2,0),"Falta de reinscribir")</f>
        <v>Reinscrito</v>
      </c>
    </row>
    <row r="120" spans="1:3">
      <c r="A120" s="28">
        <v>2350</v>
      </c>
      <c r="B120" s="29" t="s">
        <v>5</v>
      </c>
      <c r="C120" s="2" t="str">
        <f>IFERROR(VLOOKUP(A120,'2026'!A$6:B$700,2,0),"Falta de reinscribir")</f>
        <v>Pendiente</v>
      </c>
    </row>
    <row r="121" spans="1:3">
      <c r="A121" s="28">
        <v>2353</v>
      </c>
      <c r="B121" s="29" t="s">
        <v>9</v>
      </c>
      <c r="C121" s="2" t="str">
        <f>IFERROR(VLOOKUP(A121,'2026'!A$6:B$700,2,0),"Falta de reinscribir")</f>
        <v>Pendiente</v>
      </c>
    </row>
    <row r="122" spans="1:3">
      <c r="A122" s="28">
        <v>2355</v>
      </c>
      <c r="B122" s="29" t="s">
        <v>9</v>
      </c>
      <c r="C122" s="2" t="str">
        <f>IFERROR(VLOOKUP(A122,'2026'!A$6:B$700,2,0),"Falta de reinscribir")</f>
        <v>Reinscrito</v>
      </c>
    </row>
    <row r="123" spans="1:3">
      <c r="A123" s="28">
        <v>2356</v>
      </c>
      <c r="B123" s="29" t="s">
        <v>4</v>
      </c>
      <c r="C123" s="2" t="str">
        <f>IFERROR(VLOOKUP(A123,'2026'!A$6:B$700,2,0),"Falta de reinscribir")</f>
        <v>Reinscrito</v>
      </c>
    </row>
    <row r="124" spans="1:3">
      <c r="A124" s="28">
        <v>2357</v>
      </c>
      <c r="B124" s="29" t="s">
        <v>7</v>
      </c>
      <c r="C124" s="2" t="str">
        <f>IFERROR(VLOOKUP(A124,'2026'!A$6:B$700,2,0),"Falta de reinscribir")</f>
        <v>Reinscrito</v>
      </c>
    </row>
    <row r="125" spans="1:3">
      <c r="A125" s="28">
        <v>2358</v>
      </c>
      <c r="B125" s="29" t="s">
        <v>4</v>
      </c>
      <c r="C125" s="2" t="str">
        <f>IFERROR(VLOOKUP(A125,'2026'!A$6:B$700,2,0),"Falta de reinscribir")</f>
        <v>Pendiente</v>
      </c>
    </row>
    <row r="126" spans="1:3">
      <c r="A126" s="28">
        <v>2359</v>
      </c>
      <c r="B126" s="29" t="s">
        <v>9</v>
      </c>
      <c r="C126" s="2" t="str">
        <f>IFERROR(VLOOKUP(A126,'2026'!A$6:B$700,2,0),"Falta de reinscribir")</f>
        <v>Reinscrito</v>
      </c>
    </row>
    <row r="127" spans="1:3">
      <c r="A127" s="28">
        <v>2362</v>
      </c>
      <c r="B127" s="29" t="s">
        <v>7</v>
      </c>
      <c r="C127" s="2" t="str">
        <f>IFERROR(VLOOKUP(A127,'2026'!A$6:B$700,2,0),"Falta de reinscribir")</f>
        <v>Reinscrito</v>
      </c>
    </row>
    <row r="128" spans="1:3">
      <c r="A128" s="28">
        <v>2363</v>
      </c>
      <c r="B128" s="29" t="s">
        <v>6</v>
      </c>
      <c r="C128" s="2" t="str">
        <f>IFERROR(VLOOKUP(A128,'2026'!A$6:B$700,2,0),"Falta de reinscribir")</f>
        <v>Pendiente</v>
      </c>
    </row>
    <row r="129" spans="1:3">
      <c r="A129" s="28">
        <v>2364</v>
      </c>
      <c r="B129" s="29" t="s">
        <v>5</v>
      </c>
      <c r="C129" s="2" t="str">
        <f>IFERROR(VLOOKUP(A129,'2026'!A$6:B$700,2,0),"Falta de reinscribir")</f>
        <v>Reinscrito</v>
      </c>
    </row>
    <row r="130" spans="1:3">
      <c r="A130" s="28">
        <v>2365</v>
      </c>
      <c r="B130" s="29" t="s">
        <v>10</v>
      </c>
      <c r="C130" s="2" t="str">
        <f>IFERROR(VLOOKUP(A130,'2026'!A$6:B$700,2,0),"Falta de reinscribir")</f>
        <v>Reinscrito</v>
      </c>
    </row>
    <row r="131" spans="1:3">
      <c r="A131" s="28">
        <v>2366</v>
      </c>
      <c r="B131" s="29" t="s">
        <v>7</v>
      </c>
      <c r="C131" s="2" t="str">
        <f>IFERROR(VLOOKUP(A131,'2026'!A$6:B$700,2,0),"Falta de reinscribir")</f>
        <v>Reinscrito</v>
      </c>
    </row>
    <row r="132" spans="1:3">
      <c r="A132" s="28">
        <v>2367</v>
      </c>
      <c r="B132" s="29" t="s">
        <v>5</v>
      </c>
      <c r="C132" s="2" t="str">
        <f>IFERROR(VLOOKUP(A132,'2026'!A$6:B$700,2,0),"Falta de reinscribir")</f>
        <v>Reinscrito</v>
      </c>
    </row>
    <row r="133" spans="1:3">
      <c r="A133" s="28">
        <v>2368</v>
      </c>
      <c r="B133" s="29" t="s">
        <v>5</v>
      </c>
      <c r="C133" s="2" t="str">
        <f>IFERROR(VLOOKUP(A133,'2026'!A$6:B$700,2,0),"Falta de reinscribir")</f>
        <v>Pendiente</v>
      </c>
    </row>
    <row r="134" spans="1:3">
      <c r="A134" s="28">
        <v>2369</v>
      </c>
      <c r="B134" s="29" t="s">
        <v>11</v>
      </c>
      <c r="C134" s="2" t="str">
        <f>IFERROR(VLOOKUP(A134,'2026'!A$6:B$700,2,0),"Falta de reinscribir")</f>
        <v>Reinscrito</v>
      </c>
    </row>
    <row r="135" spans="1:3">
      <c r="A135" s="28">
        <v>2371</v>
      </c>
      <c r="B135" s="29" t="s">
        <v>4</v>
      </c>
      <c r="C135" s="2" t="str">
        <f>IFERROR(VLOOKUP(A135,'2026'!A$6:B$700,2,0),"Falta de reinscribir")</f>
        <v>Pendiente</v>
      </c>
    </row>
    <row r="136" spans="1:3">
      <c r="A136" s="28">
        <v>2373</v>
      </c>
      <c r="B136" s="29" t="s">
        <v>6</v>
      </c>
      <c r="C136" s="2" t="str">
        <f>IFERROR(VLOOKUP(A136,'2026'!A$6:B$700,2,0),"Falta de reinscribir")</f>
        <v>Pendiente</v>
      </c>
    </row>
    <row r="137" spans="1:3">
      <c r="A137" s="28">
        <v>2376</v>
      </c>
      <c r="B137" s="29" t="s">
        <v>9</v>
      </c>
      <c r="C137" s="2" t="str">
        <f>IFERROR(VLOOKUP(A137,'2026'!A$6:B$700,2,0),"Falta de reinscribir")</f>
        <v>Reinscrito</v>
      </c>
    </row>
    <row r="138" spans="1:3">
      <c r="A138" s="28">
        <v>2379</v>
      </c>
      <c r="B138" s="29" t="s">
        <v>11</v>
      </c>
      <c r="C138" s="2" t="str">
        <f>IFERROR(VLOOKUP(A138,'2026'!A$6:B$700,2,0),"Falta de reinscribir")</f>
        <v>Reinscrito</v>
      </c>
    </row>
    <row r="139" spans="1:3">
      <c r="A139" s="28">
        <v>2383</v>
      </c>
      <c r="B139" s="29" t="s">
        <v>4</v>
      </c>
      <c r="C139" s="2" t="str">
        <f>IFERROR(VLOOKUP(A139,'2026'!A$6:B$700,2,0),"Falta de reinscribir")</f>
        <v>Reinscrito</v>
      </c>
    </row>
    <row r="140" spans="1:3">
      <c r="A140" s="28">
        <v>2387</v>
      </c>
      <c r="B140" s="29" t="s">
        <v>4</v>
      </c>
      <c r="C140" s="2" t="str">
        <f>IFERROR(VLOOKUP(A140,'2026'!A$6:B$700,2,0),"Falta de reinscribir")</f>
        <v>Reinscrito</v>
      </c>
    </row>
    <row r="141" spans="1:3">
      <c r="A141" s="28">
        <v>2388</v>
      </c>
      <c r="B141" s="29" t="s">
        <v>8</v>
      </c>
      <c r="C141" s="2" t="str">
        <f>IFERROR(VLOOKUP(A141,'2026'!A$6:B$700,2,0),"Falta de reinscribir")</f>
        <v>Reinscrito</v>
      </c>
    </row>
    <row r="142" spans="1:3">
      <c r="A142" s="28">
        <v>2389</v>
      </c>
      <c r="B142" s="29" t="s">
        <v>9</v>
      </c>
      <c r="C142" s="2" t="str">
        <f>IFERROR(VLOOKUP(A142,'2026'!A$6:B$700,2,0),"Falta de reinscribir")</f>
        <v>Reinscrito</v>
      </c>
    </row>
    <row r="143" spans="1:3">
      <c r="A143" s="28">
        <v>2390</v>
      </c>
      <c r="B143" s="29" t="s">
        <v>7</v>
      </c>
      <c r="C143" s="2" t="str">
        <f>IFERROR(VLOOKUP(A143,'2026'!A$6:B$700,2,0),"Falta de reinscribir")</f>
        <v>Pendiente</v>
      </c>
    </row>
    <row r="144" spans="1:3">
      <c r="A144" s="28">
        <v>2395</v>
      </c>
      <c r="B144" s="29" t="s">
        <v>4</v>
      </c>
      <c r="C144" s="2" t="str">
        <f>IFERROR(VLOOKUP(A144,'2026'!A$6:B$700,2,0),"Falta de reinscribir")</f>
        <v>Reinscrito</v>
      </c>
    </row>
    <row r="145" spans="1:3">
      <c r="A145" s="28">
        <v>2396</v>
      </c>
      <c r="B145" s="29" t="s">
        <v>10</v>
      </c>
      <c r="C145" s="2" t="str">
        <f>IFERROR(VLOOKUP(A145,'2026'!A$6:B$700,2,0),"Falta de reinscribir")</f>
        <v>Reinscrito</v>
      </c>
    </row>
    <row r="146" spans="1:3">
      <c r="A146" s="28">
        <v>2398</v>
      </c>
      <c r="B146" s="29" t="s">
        <v>11</v>
      </c>
      <c r="C146" s="2" t="str">
        <f>IFERROR(VLOOKUP(A146,'2026'!A$6:B$700,2,0),"Falta de reinscribir")</f>
        <v>Reinscrito</v>
      </c>
    </row>
    <row r="147" spans="1:3">
      <c r="A147" s="28">
        <v>2399</v>
      </c>
      <c r="B147" s="29" t="s">
        <v>10</v>
      </c>
      <c r="C147" s="2" t="str">
        <f>IFERROR(VLOOKUP(A147,'2026'!A$6:B$700,2,0),"Falta de reinscribir")</f>
        <v>Reinscrito</v>
      </c>
    </row>
    <row r="148" spans="1:3">
      <c r="A148" s="28">
        <v>2400</v>
      </c>
      <c r="B148" s="29" t="s">
        <v>13</v>
      </c>
      <c r="C148" s="2" t="str">
        <f>IFERROR(VLOOKUP(A148,'2026'!A$6:B$700,2,0),"Falta de reinscribir")</f>
        <v>Reinscrito</v>
      </c>
    </row>
    <row r="149" spans="1:3">
      <c r="A149" s="28">
        <v>2402</v>
      </c>
      <c r="B149" s="29" t="s">
        <v>10</v>
      </c>
      <c r="C149" s="2" t="str">
        <f>IFERROR(VLOOKUP(A149,'2026'!A$6:B$700,2,0),"Falta de reinscribir")</f>
        <v>Reinscrito</v>
      </c>
    </row>
    <row r="150" spans="1:3">
      <c r="A150" s="28">
        <v>2403</v>
      </c>
      <c r="B150" s="29" t="s">
        <v>9</v>
      </c>
      <c r="C150" s="2" t="str">
        <f>IFERROR(VLOOKUP(A150,'2026'!A$6:B$700,2,0),"Falta de reinscribir")</f>
        <v>Reinscrito</v>
      </c>
    </row>
    <row r="151" spans="1:3">
      <c r="A151" s="28">
        <v>2404</v>
      </c>
      <c r="B151" s="29" t="s">
        <v>11</v>
      </c>
      <c r="C151" s="2" t="str">
        <f>IFERROR(VLOOKUP(A151,'2026'!A$6:B$700,2,0),"Falta de reinscribir")</f>
        <v>Reinscrito</v>
      </c>
    </row>
    <row r="152" spans="1:3">
      <c r="A152" s="28">
        <v>2405</v>
      </c>
      <c r="B152" s="29" t="s">
        <v>6</v>
      </c>
      <c r="C152" s="2" t="str">
        <f>IFERROR(VLOOKUP(A152,'2026'!A$6:B$700,2,0),"Falta de reinscribir")</f>
        <v>Pendiente</v>
      </c>
    </row>
    <row r="153" spans="1:3">
      <c r="A153" s="28">
        <v>2406</v>
      </c>
      <c r="B153" s="29" t="s">
        <v>13</v>
      </c>
      <c r="C153" s="2" t="str">
        <f>IFERROR(VLOOKUP(A153,'2026'!A$6:B$700,2,0),"Falta de reinscribir")</f>
        <v>Reinscrito</v>
      </c>
    </row>
    <row r="154" spans="1:3">
      <c r="A154" s="28">
        <v>2407</v>
      </c>
      <c r="B154" s="29" t="s">
        <v>11</v>
      </c>
      <c r="C154" s="2" t="str">
        <f>IFERROR(VLOOKUP(A154,'2026'!A$6:B$700,2,0),"Falta de reinscribir")</f>
        <v>Pendiente</v>
      </c>
    </row>
    <row r="155" spans="1:3">
      <c r="A155" s="28">
        <v>2416</v>
      </c>
      <c r="B155" s="29" t="s">
        <v>13</v>
      </c>
      <c r="C155" s="2" t="str">
        <f>IFERROR(VLOOKUP(A155,'2026'!A$6:B$700,2,0),"Falta de reinscribir")</f>
        <v>Reinscrito</v>
      </c>
    </row>
    <row r="156" spans="1:3">
      <c r="A156" s="28">
        <v>2422</v>
      </c>
      <c r="B156" s="29" t="s">
        <v>12</v>
      </c>
      <c r="C156" s="2" t="str">
        <f>IFERROR(VLOOKUP(A156,'2026'!A$6:B$700,2,0),"Falta de reinscribir")</f>
        <v>Reinscrito</v>
      </c>
    </row>
    <row r="157" spans="1:3">
      <c r="A157" s="28">
        <v>2423</v>
      </c>
      <c r="B157" s="29" t="s">
        <v>13</v>
      </c>
      <c r="C157" s="2" t="str">
        <f>IFERROR(VLOOKUP(A157,'2026'!A$6:B$700,2,0),"Falta de reinscribir")</f>
        <v>Pendiente</v>
      </c>
    </row>
    <row r="158" spans="1:3">
      <c r="A158" s="28">
        <v>2428</v>
      </c>
      <c r="B158" s="29" t="s">
        <v>10</v>
      </c>
      <c r="C158" s="2" t="str">
        <f>IFERROR(VLOOKUP(A158,'2026'!A$6:B$700,2,0),"Falta de reinscribir")</f>
        <v>Reinscrito</v>
      </c>
    </row>
    <row r="159" spans="1:3">
      <c r="A159" s="28">
        <v>2429</v>
      </c>
      <c r="B159" s="29" t="s">
        <v>7</v>
      </c>
      <c r="C159" s="2" t="str">
        <f>IFERROR(VLOOKUP(A159,'2026'!A$6:B$700,2,0),"Falta de reinscribir")</f>
        <v>Reinscrito</v>
      </c>
    </row>
    <row r="160" spans="1:3">
      <c r="A160" s="28">
        <v>2430</v>
      </c>
      <c r="B160" s="29" t="s">
        <v>0</v>
      </c>
      <c r="C160" s="2" t="str">
        <f>IFERROR(VLOOKUP(A160,'2026'!A$6:B$700,2,0),"Falta de reinscribir")</f>
        <v>Reinscrito</v>
      </c>
    </row>
    <row r="161" spans="1:3">
      <c r="A161" s="28">
        <v>2431</v>
      </c>
      <c r="B161" s="29" t="s">
        <v>4</v>
      </c>
      <c r="C161" s="2" t="str">
        <f>IFERROR(VLOOKUP(A161,'2026'!A$6:B$700,2,0),"Falta de reinscribir")</f>
        <v>Reinscrito</v>
      </c>
    </row>
    <row r="162" spans="1:3">
      <c r="A162" s="28">
        <v>2434</v>
      </c>
      <c r="B162" s="29" t="s">
        <v>11</v>
      </c>
      <c r="C162" s="2" t="str">
        <f>IFERROR(VLOOKUP(A162,'2026'!A$6:B$700,2,0),"Falta de reinscribir")</f>
        <v>Reinscrito</v>
      </c>
    </row>
    <row r="163" spans="1:3">
      <c r="A163" s="28">
        <v>2435</v>
      </c>
      <c r="B163" s="29" t="s">
        <v>13</v>
      </c>
      <c r="C163" s="2" t="str">
        <f>IFERROR(VLOOKUP(A163,'2026'!A$6:B$700,2,0),"Falta de reinscribir")</f>
        <v>Pendiente</v>
      </c>
    </row>
    <row r="164" spans="1:3">
      <c r="A164" s="28">
        <v>2436</v>
      </c>
      <c r="B164" s="29" t="s">
        <v>10</v>
      </c>
      <c r="C164" s="2" t="str">
        <f>IFERROR(VLOOKUP(A164,'2026'!A$6:B$700,2,0),"Falta de reinscribir")</f>
        <v>Reinscrito</v>
      </c>
    </row>
    <row r="165" spans="1:3">
      <c r="A165" s="28">
        <v>2438</v>
      </c>
      <c r="B165" s="29" t="s">
        <v>8</v>
      </c>
      <c r="C165" s="2" t="str">
        <f>IFERROR(VLOOKUP(A165,'2026'!A$6:B$700,2,0),"Falta de reinscribir")</f>
        <v>Reinscrito</v>
      </c>
    </row>
    <row r="166" spans="1:3">
      <c r="A166" s="28">
        <v>2439</v>
      </c>
      <c r="B166" s="29" t="s">
        <v>11</v>
      </c>
      <c r="C166" s="2" t="str">
        <f>IFERROR(VLOOKUP(A166,'2026'!A$6:B$700,2,0),"Falta de reinscribir")</f>
        <v>Reinscrito</v>
      </c>
    </row>
    <row r="167" spans="1:3">
      <c r="A167" s="28">
        <v>2440</v>
      </c>
      <c r="B167" s="29" t="s">
        <v>11</v>
      </c>
      <c r="C167" s="2" t="str">
        <f>IFERROR(VLOOKUP(A167,'2026'!A$6:B$700,2,0),"Falta de reinscribir")</f>
        <v>Reinscrito</v>
      </c>
    </row>
    <row r="168" spans="1:3">
      <c r="A168" s="28">
        <v>2441</v>
      </c>
      <c r="B168" s="29" t="s">
        <v>10</v>
      </c>
      <c r="C168" s="2" t="str">
        <f>IFERROR(VLOOKUP(A168,'2026'!A$6:B$700,2,0),"Falta de reinscribir")</f>
        <v>Reinscrito</v>
      </c>
    </row>
    <row r="169" spans="1:3">
      <c r="A169" s="28">
        <v>2444</v>
      </c>
      <c r="B169" s="29" t="s">
        <v>10</v>
      </c>
      <c r="C169" s="2" t="str">
        <f>IFERROR(VLOOKUP(A169,'2026'!A$6:B$700,2,0),"Falta de reinscribir")</f>
        <v>Reinscrito</v>
      </c>
    </row>
    <row r="170" spans="1:3">
      <c r="A170" s="28">
        <v>2445</v>
      </c>
      <c r="B170" s="29" t="s">
        <v>11</v>
      </c>
      <c r="C170" s="2" t="str">
        <f>IFERROR(VLOOKUP(A170,'2026'!A$6:B$700,2,0),"Falta de reinscribir")</f>
        <v>Reinscrito</v>
      </c>
    </row>
    <row r="171" spans="1:3">
      <c r="A171" s="28">
        <v>2446</v>
      </c>
      <c r="B171" s="29" t="s">
        <v>9</v>
      </c>
      <c r="C171" s="2" t="str">
        <f>IFERROR(VLOOKUP(A171,'2026'!A$6:B$700,2,0),"Falta de reinscribir")</f>
        <v>Pendiente</v>
      </c>
    </row>
    <row r="172" spans="1:3">
      <c r="A172" s="28">
        <v>2447</v>
      </c>
      <c r="B172" s="29" t="s">
        <v>12</v>
      </c>
      <c r="C172" s="2" t="str">
        <f>IFERROR(VLOOKUP(A172,'2026'!A$6:B$700,2,0),"Falta de reinscribir")</f>
        <v>Pendiente</v>
      </c>
    </row>
    <row r="173" spans="1:3">
      <c r="A173" s="28">
        <v>2461</v>
      </c>
      <c r="B173" s="29" t="s">
        <v>13</v>
      </c>
      <c r="C173" s="2" t="str">
        <f>IFERROR(VLOOKUP(A173,'2026'!A$6:B$700,2,0),"Falta de reinscribir")</f>
        <v>Reinscrito</v>
      </c>
    </row>
    <row r="174" spans="1:3">
      <c r="A174" s="28">
        <v>2462</v>
      </c>
      <c r="B174" s="29" t="s">
        <v>8</v>
      </c>
      <c r="C174" s="2" t="str">
        <f>IFERROR(VLOOKUP(A174,'2026'!A$6:B$700,2,0),"Falta de reinscribir")</f>
        <v>Reinscrito</v>
      </c>
    </row>
    <row r="175" spans="1:3">
      <c r="A175" s="28">
        <v>2463</v>
      </c>
      <c r="B175" s="29" t="s">
        <v>13</v>
      </c>
      <c r="C175" s="2" t="str">
        <f>IFERROR(VLOOKUP(A175,'2026'!A$6:B$700,2,0),"Falta de reinscribir")</f>
        <v>Reinscrito</v>
      </c>
    </row>
    <row r="176" spans="1:3">
      <c r="A176" s="28">
        <v>2465</v>
      </c>
      <c r="B176" s="29" t="s">
        <v>9</v>
      </c>
      <c r="C176" s="2" t="str">
        <f>IFERROR(VLOOKUP(A176,'2026'!A$6:B$700,2,0),"Falta de reinscribir")</f>
        <v>Reinscrito</v>
      </c>
    </row>
    <row r="177" spans="1:3">
      <c r="A177" s="28">
        <v>2467</v>
      </c>
      <c r="B177" s="29" t="s">
        <v>10</v>
      </c>
      <c r="C177" s="2" t="str">
        <f>IFERROR(VLOOKUP(A177,'2026'!A$6:B$700,2,0),"Falta de reinscribir")</f>
        <v>Reinscrito</v>
      </c>
    </row>
    <row r="178" spans="1:3">
      <c r="A178" s="28">
        <v>2471</v>
      </c>
      <c r="B178" s="29" t="s">
        <v>4</v>
      </c>
      <c r="C178" s="2" t="str">
        <f>IFERROR(VLOOKUP(A178,'2026'!A$6:B$700,2,0),"Falta de reinscribir")</f>
        <v>Baja</v>
      </c>
    </row>
    <row r="179" spans="1:3">
      <c r="A179" s="28">
        <v>2473</v>
      </c>
      <c r="B179" s="29" t="s">
        <v>8</v>
      </c>
      <c r="C179" s="2" t="str">
        <f>IFERROR(VLOOKUP(A179,'2026'!A$6:B$700,2,0),"Falta de reinscribir")</f>
        <v>Reinscrito</v>
      </c>
    </row>
    <row r="180" spans="1:3">
      <c r="A180" s="28">
        <v>2474</v>
      </c>
      <c r="B180" s="29" t="s">
        <v>13</v>
      </c>
      <c r="C180" s="2" t="str">
        <f>IFERROR(VLOOKUP(A180,'2026'!A$6:B$700,2,0),"Falta de reinscribir")</f>
        <v>Reinscrito</v>
      </c>
    </row>
    <row r="181" spans="1:3">
      <c r="A181" s="28">
        <v>2476</v>
      </c>
      <c r="B181" s="29" t="s">
        <v>10</v>
      </c>
      <c r="C181" s="2" t="str">
        <f>IFERROR(VLOOKUP(A181,'2026'!A$6:B$700,2,0),"Falta de reinscribir")</f>
        <v>Reinscrito</v>
      </c>
    </row>
    <row r="182" spans="1:3">
      <c r="A182" s="28">
        <v>2477</v>
      </c>
      <c r="B182" s="29" t="s">
        <v>11</v>
      </c>
      <c r="C182" s="2" t="str">
        <f>IFERROR(VLOOKUP(A182,'2026'!A$6:B$700,2,0),"Falta de reinscribir")</f>
        <v>Reinscrito</v>
      </c>
    </row>
    <row r="183" spans="1:3">
      <c r="A183" s="28">
        <v>2481</v>
      </c>
      <c r="B183" s="29" t="s">
        <v>10</v>
      </c>
      <c r="C183" s="2" t="str">
        <f>IFERROR(VLOOKUP(A183,'2026'!A$6:B$700,2,0),"Falta de reinscribir")</f>
        <v>Pendiente</v>
      </c>
    </row>
    <row r="184" spans="1:3">
      <c r="A184" s="28">
        <v>2483</v>
      </c>
      <c r="B184" s="29" t="s">
        <v>13</v>
      </c>
      <c r="C184" s="2" t="str">
        <f>IFERROR(VLOOKUP(A184,'2026'!A$6:B$700,2,0),"Falta de reinscribir")</f>
        <v>Reinscrito</v>
      </c>
    </row>
    <row r="185" spans="1:3">
      <c r="A185" s="28">
        <v>2485</v>
      </c>
      <c r="B185" s="29" t="s">
        <v>3</v>
      </c>
      <c r="C185" s="2" t="str">
        <f>IFERROR(VLOOKUP(A185,'2026'!A$6:B$700,2,0),"Falta de reinscribir")</f>
        <v>Reinscrito</v>
      </c>
    </row>
    <row r="186" spans="1:3">
      <c r="A186" s="28">
        <v>2486</v>
      </c>
      <c r="B186" s="29" t="s">
        <v>12</v>
      </c>
      <c r="C186" s="2" t="str">
        <f>IFERROR(VLOOKUP(A186,'2026'!A$6:B$700,2,0),"Falta de reinscribir")</f>
        <v>Reinscrito</v>
      </c>
    </row>
    <row r="187" spans="1:3">
      <c r="A187" s="28">
        <v>2488</v>
      </c>
      <c r="B187" s="29" t="s">
        <v>1</v>
      </c>
      <c r="C187" s="2" t="str">
        <f>IFERROR(VLOOKUP(A187,'2026'!A$6:B$700,2,0),"Falta de reinscribir")</f>
        <v>Reinscrito</v>
      </c>
    </row>
    <row r="188" spans="1:3">
      <c r="A188" s="28">
        <v>2490</v>
      </c>
      <c r="B188" s="29" t="s">
        <v>8</v>
      </c>
      <c r="C188" s="2" t="str">
        <f>IFERROR(VLOOKUP(A188,'2026'!A$6:B$700,2,0),"Falta de reinscribir")</f>
        <v>Pendiente</v>
      </c>
    </row>
    <row r="189" spans="1:3">
      <c r="A189" s="28">
        <v>2494</v>
      </c>
      <c r="B189" s="29" t="s">
        <v>13</v>
      </c>
      <c r="C189" s="2" t="str">
        <f>IFERROR(VLOOKUP(A189,'2026'!A$6:B$700,2,0),"Falta de reinscribir")</f>
        <v>Reinscrito</v>
      </c>
    </row>
    <row r="190" spans="1:3">
      <c r="A190" s="28">
        <v>2497</v>
      </c>
      <c r="B190" s="29" t="s">
        <v>11</v>
      </c>
      <c r="C190" s="2" t="str">
        <f>IFERROR(VLOOKUP(A190,'2026'!A$6:B$700,2,0),"Falta de reinscribir")</f>
        <v>Reinscrito</v>
      </c>
    </row>
    <row r="191" spans="1:3">
      <c r="A191" s="28">
        <v>2505</v>
      </c>
      <c r="B191" s="29" t="s">
        <v>8</v>
      </c>
      <c r="C191" s="2" t="str">
        <f>IFERROR(VLOOKUP(A191,'2026'!A$6:B$700,2,0),"Falta de reinscribir")</f>
        <v>Reinscrito</v>
      </c>
    </row>
    <row r="192" spans="1:3">
      <c r="A192" s="28">
        <v>2506</v>
      </c>
      <c r="B192" s="29" t="s">
        <v>13</v>
      </c>
      <c r="C192" s="2" t="str">
        <f>IFERROR(VLOOKUP(A192,'2026'!A$6:B$700,2,0),"Falta de reinscribir")</f>
        <v>Pendiente</v>
      </c>
    </row>
    <row r="193" spans="1:3">
      <c r="A193" s="28">
        <v>2507</v>
      </c>
      <c r="B193" s="29" t="s">
        <v>12</v>
      </c>
      <c r="C193" s="2" t="str">
        <f>IFERROR(VLOOKUP(A193,'2026'!A$6:B$700,2,0),"Falta de reinscribir")</f>
        <v>Pendiente</v>
      </c>
    </row>
    <row r="194" spans="1:3">
      <c r="A194" s="28">
        <v>2508</v>
      </c>
      <c r="B194" s="29" t="s">
        <v>14</v>
      </c>
      <c r="C194" s="2" t="str">
        <f>IFERROR(VLOOKUP(A194,'2026'!A$6:B$700,2,0),"Falta de reinscribir")</f>
        <v>Pendiente</v>
      </c>
    </row>
    <row r="195" spans="1:3">
      <c r="A195" s="28">
        <v>2509</v>
      </c>
      <c r="B195" s="29" t="s">
        <v>15</v>
      </c>
      <c r="C195" s="2" t="str">
        <f>IFERROR(VLOOKUP(A195,'2026'!A$6:B$700,2,0),"Falta de reinscribir")</f>
        <v>Reinscrito</v>
      </c>
    </row>
    <row r="196" spans="1:3">
      <c r="A196" s="28">
        <v>2512</v>
      </c>
      <c r="B196" s="29" t="s">
        <v>12</v>
      </c>
      <c r="C196" s="2" t="str">
        <f>IFERROR(VLOOKUP(A196,'2026'!A$6:B$700,2,0),"Falta de reinscribir")</f>
        <v>Reinscrito</v>
      </c>
    </row>
    <row r="197" spans="1:3">
      <c r="A197" s="28">
        <v>2514</v>
      </c>
      <c r="B197" s="29" t="s">
        <v>15</v>
      </c>
      <c r="C197" s="2" t="str">
        <f>IFERROR(VLOOKUP(A197,'2026'!A$6:B$700,2,0),"Falta de reinscribir")</f>
        <v>Reinscrito</v>
      </c>
    </row>
    <row r="198" spans="1:3">
      <c r="A198" s="28">
        <v>2516</v>
      </c>
      <c r="B198" s="29" t="s">
        <v>12</v>
      </c>
      <c r="C198" s="2" t="str">
        <f>IFERROR(VLOOKUP(A198,'2026'!A$6:B$700,2,0),"Falta de reinscribir")</f>
        <v>Reinscrito</v>
      </c>
    </row>
    <row r="199" spans="1:3">
      <c r="A199" s="28">
        <v>2517</v>
      </c>
      <c r="B199" s="29" t="s">
        <v>9</v>
      </c>
      <c r="C199" s="2" t="str">
        <f>IFERROR(VLOOKUP(A199,'2026'!A$6:B$700,2,0),"Falta de reinscribir")</f>
        <v>Reinscrito</v>
      </c>
    </row>
    <row r="200" spans="1:3">
      <c r="A200" s="28">
        <v>2519</v>
      </c>
      <c r="B200" s="29" t="s">
        <v>11</v>
      </c>
      <c r="C200" s="2" t="str">
        <f>IFERROR(VLOOKUP(A200,'2026'!A$6:B$700,2,0),"Falta de reinscribir")</f>
        <v>Reinscrito</v>
      </c>
    </row>
    <row r="201" spans="1:3">
      <c r="A201" s="28">
        <v>2521</v>
      </c>
      <c r="B201" s="29" t="s">
        <v>8</v>
      </c>
      <c r="C201" s="2" t="str">
        <f>IFERROR(VLOOKUP(A201,'2026'!A$6:B$700,2,0),"Falta de reinscribir")</f>
        <v>Reinscrito</v>
      </c>
    </row>
    <row r="202" spans="1:3">
      <c r="A202" s="28">
        <v>2522</v>
      </c>
      <c r="B202" s="29" t="s">
        <v>13</v>
      </c>
      <c r="C202" s="2" t="str">
        <f>IFERROR(VLOOKUP(A202,'2026'!A$6:B$700,2,0),"Falta de reinscribir")</f>
        <v>Reinscrito</v>
      </c>
    </row>
    <row r="203" spans="1:3">
      <c r="A203" s="28">
        <v>2523</v>
      </c>
      <c r="B203" s="29" t="s">
        <v>6</v>
      </c>
      <c r="C203" s="2" t="str">
        <f>IFERROR(VLOOKUP(A203,'2026'!A$6:B$700,2,0),"Falta de reinscribir")</f>
        <v>Reinscrito</v>
      </c>
    </row>
    <row r="204" spans="1:3">
      <c r="A204" s="28">
        <v>2524</v>
      </c>
      <c r="B204" s="29" t="s">
        <v>12</v>
      </c>
      <c r="C204" s="2" t="str">
        <f>IFERROR(VLOOKUP(A204,'2026'!A$6:B$700,2,0),"Falta de reinscribir")</f>
        <v>Reinscrito</v>
      </c>
    </row>
    <row r="205" spans="1:3">
      <c r="A205" s="28">
        <v>2525</v>
      </c>
      <c r="B205" s="29" t="s">
        <v>6</v>
      </c>
      <c r="C205" s="2" t="str">
        <f>IFERROR(VLOOKUP(A205,'2026'!A$6:B$700,2,0),"Falta de reinscribir")</f>
        <v>Reinscrito</v>
      </c>
    </row>
    <row r="206" spans="1:3">
      <c r="A206" s="28">
        <v>2527</v>
      </c>
      <c r="B206" s="29" t="s">
        <v>13</v>
      </c>
      <c r="C206" s="2" t="str">
        <f>IFERROR(VLOOKUP(A206,'2026'!A$6:B$700,2,0),"Falta de reinscribir")</f>
        <v>Reinscrito</v>
      </c>
    </row>
    <row r="207" spans="1:3">
      <c r="A207" s="28">
        <v>2531</v>
      </c>
      <c r="B207" s="29" t="s">
        <v>12</v>
      </c>
      <c r="C207" s="2" t="str">
        <f>IFERROR(VLOOKUP(A207,'2026'!A$6:B$700,2,0),"Falta de reinscribir")</f>
        <v>Reinscrito</v>
      </c>
    </row>
    <row r="208" spans="1:3">
      <c r="A208" s="28">
        <v>2533</v>
      </c>
      <c r="B208" s="29" t="s">
        <v>8</v>
      </c>
      <c r="C208" s="2" t="str">
        <f>IFERROR(VLOOKUP(A208,'2026'!A$6:B$700,2,0),"Falta de reinscribir")</f>
        <v>Reinscrito</v>
      </c>
    </row>
    <row r="209" spans="1:3">
      <c r="A209" s="28">
        <v>2534</v>
      </c>
      <c r="B209" s="29" t="s">
        <v>15</v>
      </c>
      <c r="C209" s="2" t="str">
        <f>IFERROR(VLOOKUP(A209,'2026'!A$6:B$700,2,0),"Falta de reinscribir")</f>
        <v>Reinscrito</v>
      </c>
    </row>
    <row r="210" spans="1:3">
      <c r="A210" s="28">
        <v>2538</v>
      </c>
      <c r="B210" s="29" t="s">
        <v>15</v>
      </c>
      <c r="C210" s="2" t="str">
        <f>IFERROR(VLOOKUP(A210,'2026'!A$6:B$700,2,0),"Falta de reinscribir")</f>
        <v>Reinscrito</v>
      </c>
    </row>
    <row r="211" spans="1:3">
      <c r="A211" s="28">
        <v>2542</v>
      </c>
      <c r="B211" s="29" t="s">
        <v>0</v>
      </c>
      <c r="C211" s="2" t="str">
        <f>IFERROR(VLOOKUP(A211,'2026'!A$6:B$700,2,0),"Falta de reinscribir")</f>
        <v>Pendiente</v>
      </c>
    </row>
    <row r="212" spans="1:3">
      <c r="A212" s="28">
        <v>2543</v>
      </c>
      <c r="B212" s="29" t="s">
        <v>12</v>
      </c>
      <c r="C212" s="2" t="str">
        <f>IFERROR(VLOOKUP(A212,'2026'!A$6:B$700,2,0),"Falta de reinscribir")</f>
        <v>Baja</v>
      </c>
    </row>
    <row r="213" spans="1:3">
      <c r="A213" s="28">
        <v>2545</v>
      </c>
      <c r="B213" s="29" t="s">
        <v>15</v>
      </c>
      <c r="C213" s="2" t="str">
        <f>IFERROR(VLOOKUP(A213,'2026'!A$6:B$700,2,0),"Falta de reinscribir")</f>
        <v>Reinscrito</v>
      </c>
    </row>
    <row r="214" spans="1:3">
      <c r="A214" s="28">
        <v>2546</v>
      </c>
      <c r="B214" s="29" t="s">
        <v>2</v>
      </c>
      <c r="C214" s="2" t="str">
        <f>IFERROR(VLOOKUP(A214,'2026'!A$6:B$700,2,0),"Falta de reinscribir")</f>
        <v>Reinscrito</v>
      </c>
    </row>
    <row r="215" spans="1:3">
      <c r="A215" s="28">
        <v>2547</v>
      </c>
      <c r="B215" s="29" t="s">
        <v>12</v>
      </c>
      <c r="C215" s="2" t="str">
        <f>IFERROR(VLOOKUP(A215,'2026'!A$6:B$700,2,0),"Falta de reinscribir")</f>
        <v>Reinscrito</v>
      </c>
    </row>
    <row r="216" spans="1:3">
      <c r="A216" s="28">
        <v>2548</v>
      </c>
      <c r="B216" s="29" t="s">
        <v>12</v>
      </c>
      <c r="C216" s="2" t="str">
        <f>IFERROR(VLOOKUP(A216,'2026'!A$6:B$700,2,0),"Falta de reinscribir")</f>
        <v>Reinscrito</v>
      </c>
    </row>
    <row r="217" spans="1:3">
      <c r="A217" s="28">
        <v>2549</v>
      </c>
      <c r="B217" s="29" t="s">
        <v>8</v>
      </c>
      <c r="C217" s="2" t="str">
        <f>IFERROR(VLOOKUP(A217,'2026'!A$6:B$700,2,0),"Falta de reinscribir")</f>
        <v>Pendiente</v>
      </c>
    </row>
    <row r="218" spans="1:3">
      <c r="A218" s="28">
        <v>2550</v>
      </c>
      <c r="B218" s="29" t="s">
        <v>12</v>
      </c>
      <c r="C218" s="2" t="str">
        <f>IFERROR(VLOOKUP(A218,'2026'!A$6:B$700,2,0),"Falta de reinscribir")</f>
        <v>Pendiente</v>
      </c>
    </row>
    <row r="219" spans="1:3">
      <c r="A219" s="28">
        <v>2551</v>
      </c>
      <c r="B219" s="29" t="s">
        <v>15</v>
      </c>
      <c r="C219" s="2" t="str">
        <f>IFERROR(VLOOKUP(A219,'2026'!A$6:B$700,2,0),"Falta de reinscribir")</f>
        <v>Reinscrito</v>
      </c>
    </row>
    <row r="220" spans="1:3">
      <c r="A220" s="28">
        <v>2552</v>
      </c>
      <c r="B220" s="29" t="s">
        <v>10</v>
      </c>
      <c r="C220" s="2" t="str">
        <f>IFERROR(VLOOKUP(A220,'2026'!A$6:B$700,2,0),"Falta de reinscribir")</f>
        <v>Pendiente</v>
      </c>
    </row>
    <row r="221" spans="1:3">
      <c r="A221" s="28">
        <v>2555</v>
      </c>
      <c r="B221" s="29" t="s">
        <v>14</v>
      </c>
      <c r="C221" s="2" t="str">
        <f>IFERROR(VLOOKUP(A221,'2026'!A$6:B$700,2,0),"Falta de reinscribir")</f>
        <v>Reinscrito</v>
      </c>
    </row>
    <row r="222" spans="1:3">
      <c r="A222" s="28">
        <v>2558</v>
      </c>
      <c r="B222" s="29" t="s">
        <v>11</v>
      </c>
      <c r="C222" s="2" t="str">
        <f>IFERROR(VLOOKUP(A222,'2026'!A$6:B$700,2,0),"Falta de reinscribir")</f>
        <v>Reinscrito</v>
      </c>
    </row>
    <row r="223" spans="1:3">
      <c r="A223" s="28">
        <v>2559</v>
      </c>
      <c r="B223" s="29" t="s">
        <v>0</v>
      </c>
      <c r="C223" s="2" t="str">
        <f>IFERROR(VLOOKUP(A223,'2026'!A$6:B$700,2,0),"Falta de reinscribir")</f>
        <v>Reinscrito</v>
      </c>
    </row>
    <row r="224" spans="1:3">
      <c r="A224" s="28">
        <v>2561</v>
      </c>
      <c r="B224" s="29" t="s">
        <v>10</v>
      </c>
      <c r="C224" s="2" t="str">
        <f>IFERROR(VLOOKUP(A224,'2026'!A$6:B$700,2,0),"Falta de reinscribir")</f>
        <v>Reinscrito</v>
      </c>
    </row>
    <row r="225" spans="1:3">
      <c r="A225" s="28">
        <v>2562</v>
      </c>
      <c r="B225" s="29" t="s">
        <v>6</v>
      </c>
      <c r="C225" s="2" t="str">
        <f>IFERROR(VLOOKUP(A225,'2026'!A$6:B$700,2,0),"Falta de reinscribir")</f>
        <v>Pendiente</v>
      </c>
    </row>
    <row r="226" spans="1:3">
      <c r="A226" s="28">
        <v>2566</v>
      </c>
      <c r="B226" s="29" t="s">
        <v>15</v>
      </c>
      <c r="C226" s="2" t="str">
        <f>IFERROR(VLOOKUP(A226,'2026'!A$6:B$700,2,0),"Falta de reinscribir")</f>
        <v>Reinscrito</v>
      </c>
    </row>
    <row r="227" spans="1:3">
      <c r="A227" s="28">
        <v>2568</v>
      </c>
      <c r="B227" s="29" t="s">
        <v>13</v>
      </c>
      <c r="C227" s="2" t="str">
        <f>IFERROR(VLOOKUP(A227,'2026'!A$6:B$700,2,0),"Falta de reinscribir")</f>
        <v>Pendiente</v>
      </c>
    </row>
    <row r="228" spans="1:3">
      <c r="A228" s="28">
        <v>2572</v>
      </c>
      <c r="B228" s="29" t="s">
        <v>14</v>
      </c>
      <c r="C228" s="2" t="str">
        <f>IFERROR(VLOOKUP(A228,'2026'!A$6:B$700,2,0),"Falta de reinscribir")</f>
        <v>Reinscrito</v>
      </c>
    </row>
    <row r="229" spans="1:3">
      <c r="A229" s="28">
        <v>2575</v>
      </c>
      <c r="B229" s="29" t="s">
        <v>12</v>
      </c>
      <c r="C229" s="2" t="str">
        <f>IFERROR(VLOOKUP(A229,'2026'!A$6:B$700,2,0),"Falta de reinscribir")</f>
        <v>Reinscrito</v>
      </c>
    </row>
    <row r="230" spans="1:3">
      <c r="A230" s="28">
        <v>2576</v>
      </c>
      <c r="B230" s="29" t="s">
        <v>15</v>
      </c>
      <c r="C230" s="2" t="str">
        <f>IFERROR(VLOOKUP(A230,'2026'!A$6:B$700,2,0),"Falta de reinscribir")</f>
        <v>Reinscrito</v>
      </c>
    </row>
    <row r="231" spans="1:3">
      <c r="A231" s="28">
        <v>2581</v>
      </c>
      <c r="B231" s="29" t="s">
        <v>4</v>
      </c>
      <c r="C231" s="2" t="str">
        <f>IFERROR(VLOOKUP(A231,'2026'!A$6:B$700,2,0),"Falta de reinscribir")</f>
        <v>Reinscrito</v>
      </c>
    </row>
    <row r="232" spans="1:3">
      <c r="A232" s="28">
        <v>2586</v>
      </c>
      <c r="B232" s="29" t="s">
        <v>10</v>
      </c>
      <c r="C232" s="2" t="str">
        <f>IFERROR(VLOOKUP(A232,'2026'!A$6:B$700,2,0),"Falta de reinscribir")</f>
        <v>Pendiente</v>
      </c>
    </row>
    <row r="233" spans="1:3">
      <c r="A233" s="28">
        <v>2587</v>
      </c>
      <c r="B233" s="29" t="s">
        <v>6</v>
      </c>
      <c r="C233" s="2" t="str">
        <f>IFERROR(VLOOKUP(A233,'2026'!A$6:B$700,2,0),"Falta de reinscribir")</f>
        <v>Pendiente</v>
      </c>
    </row>
    <row r="234" spans="1:3">
      <c r="A234" s="28">
        <v>2588</v>
      </c>
      <c r="B234" s="29" t="s">
        <v>13</v>
      </c>
      <c r="C234" s="2" t="str">
        <f>IFERROR(VLOOKUP(A234,'2026'!A$6:B$700,2,0),"Falta de reinscribir")</f>
        <v>Pendiente</v>
      </c>
    </row>
    <row r="235" spans="1:3">
      <c r="A235" s="28">
        <v>2589</v>
      </c>
      <c r="B235" s="29" t="s">
        <v>7</v>
      </c>
      <c r="C235" s="2" t="str">
        <f>IFERROR(VLOOKUP(A235,'2026'!A$6:B$700,2,0),"Falta de reinscribir")</f>
        <v>Reinscrito</v>
      </c>
    </row>
    <row r="236" spans="1:3">
      <c r="A236" s="28">
        <v>2592</v>
      </c>
      <c r="B236" s="29" t="s">
        <v>7</v>
      </c>
      <c r="C236" s="2" t="str">
        <f>IFERROR(VLOOKUP(A236,'2026'!A$6:B$700,2,0),"Falta de reinscribir")</f>
        <v>Pendiente</v>
      </c>
    </row>
    <row r="237" spans="1:3">
      <c r="A237" s="28">
        <v>2593</v>
      </c>
      <c r="B237" s="29" t="s">
        <v>12</v>
      </c>
      <c r="C237" s="2" t="str">
        <f>IFERROR(VLOOKUP(A237,'2026'!A$6:B$700,2,0),"Falta de reinscribir")</f>
        <v>Reinscrito</v>
      </c>
    </row>
    <row r="238" spans="1:3">
      <c r="A238" s="28">
        <v>2597</v>
      </c>
      <c r="B238" s="29" t="s">
        <v>3</v>
      </c>
      <c r="C238" s="2" t="str">
        <f>IFERROR(VLOOKUP(A238,'2026'!A$6:B$700,2,0),"Falta de reinscribir")</f>
        <v>Pendiente</v>
      </c>
    </row>
    <row r="239" spans="1:3">
      <c r="A239" s="28">
        <v>2598</v>
      </c>
      <c r="B239" s="29" t="s">
        <v>12</v>
      </c>
      <c r="C239" s="2" t="str">
        <f>IFERROR(VLOOKUP(A239,'2026'!A$6:B$700,2,0),"Falta de reinscribir")</f>
        <v>Pendiente</v>
      </c>
    </row>
    <row r="240" spans="1:3">
      <c r="A240" s="28">
        <v>2600</v>
      </c>
      <c r="B240" s="29" t="s">
        <v>2</v>
      </c>
      <c r="C240" s="2" t="str">
        <f>IFERROR(VLOOKUP(A240,'2026'!A$6:B$700,2,0),"Falta de reinscribir")</f>
        <v>Pendiente</v>
      </c>
    </row>
    <row r="241" spans="1:3">
      <c r="A241" s="28">
        <v>2601</v>
      </c>
      <c r="B241" s="29" t="s">
        <v>14</v>
      </c>
      <c r="C241" s="2" t="str">
        <f>IFERROR(VLOOKUP(A241,'2026'!A$6:B$700,2,0),"Falta de reinscribir")</f>
        <v>Reinscrito</v>
      </c>
    </row>
    <row r="242" spans="1:3">
      <c r="A242" s="28">
        <v>2612</v>
      </c>
      <c r="B242" s="29" t="s">
        <v>14</v>
      </c>
      <c r="C242" s="2" t="str">
        <f>IFERROR(VLOOKUP(A242,'2026'!A$6:B$700,2,0),"Falta de reinscribir")</f>
        <v>Pendiente</v>
      </c>
    </row>
    <row r="243" spans="1:3">
      <c r="A243" s="28">
        <v>2615</v>
      </c>
      <c r="B243" s="29" t="s">
        <v>14</v>
      </c>
      <c r="C243" s="2" t="str">
        <f>IFERROR(VLOOKUP(A243,'2026'!A$6:B$700,2,0),"Falta de reinscribir")</f>
        <v>Reinscrito</v>
      </c>
    </row>
    <row r="244" spans="1:3">
      <c r="A244" s="28">
        <v>2616</v>
      </c>
      <c r="B244" s="29" t="s">
        <v>15</v>
      </c>
      <c r="C244" s="2" t="str">
        <f>IFERROR(VLOOKUP(A244,'2026'!A$6:B$700,2,0),"Falta de reinscribir")</f>
        <v>Reinscrito</v>
      </c>
    </row>
    <row r="245" spans="1:3">
      <c r="A245" s="28">
        <v>2618</v>
      </c>
      <c r="B245" s="29" t="s">
        <v>17</v>
      </c>
      <c r="C245" s="2" t="str">
        <f>IFERROR(VLOOKUP(A245,'2026'!A$6:B$700,2,0),"Falta de reinscribir")</f>
        <v>Reinscrito</v>
      </c>
    </row>
    <row r="246" spans="1:3">
      <c r="A246" s="28">
        <v>2620</v>
      </c>
      <c r="B246" s="29" t="s">
        <v>17</v>
      </c>
      <c r="C246" s="2" t="str">
        <f>IFERROR(VLOOKUP(A246,'2026'!A$6:B$700,2,0),"Falta de reinscribir")</f>
        <v>Reinscrito</v>
      </c>
    </row>
    <row r="247" spans="1:3">
      <c r="A247" s="28">
        <v>2621</v>
      </c>
      <c r="B247" s="29" t="s">
        <v>13</v>
      </c>
      <c r="C247" s="2" t="str">
        <f>IFERROR(VLOOKUP(A247,'2026'!A$6:B$700,2,0),"Falta de reinscribir")</f>
        <v>Reinscrito</v>
      </c>
    </row>
    <row r="248" spans="1:3">
      <c r="A248" s="28">
        <v>2623</v>
      </c>
      <c r="B248" s="29" t="s">
        <v>14</v>
      </c>
      <c r="C248" s="2" t="str">
        <f>IFERROR(VLOOKUP(A248,'2026'!A$6:B$700,2,0),"Falta de reinscribir")</f>
        <v>Reinscrito</v>
      </c>
    </row>
    <row r="249" spans="1:3">
      <c r="A249" s="28">
        <v>2624</v>
      </c>
      <c r="B249" s="29" t="s">
        <v>15</v>
      </c>
      <c r="C249" s="2" t="str">
        <f>IFERROR(VLOOKUP(A249,'2026'!A$6:B$700,2,0),"Falta de reinscribir")</f>
        <v>Reinscrito</v>
      </c>
    </row>
    <row r="250" spans="1:3">
      <c r="A250" s="28">
        <v>2625</v>
      </c>
      <c r="B250" s="29" t="s">
        <v>14</v>
      </c>
      <c r="C250" s="2" t="str">
        <f>IFERROR(VLOOKUP(A250,'2026'!A$6:B$700,2,0),"Falta de reinscribir")</f>
        <v>Reinscrito</v>
      </c>
    </row>
    <row r="251" spans="1:3">
      <c r="A251" s="28">
        <v>2626</v>
      </c>
      <c r="B251" s="29" t="s">
        <v>14</v>
      </c>
      <c r="C251" s="2" t="str">
        <f>IFERROR(VLOOKUP(A251,'2026'!A$6:B$700,2,0),"Falta de reinscribir")</f>
        <v>Reinscrito</v>
      </c>
    </row>
    <row r="252" spans="1:3">
      <c r="A252" s="28">
        <v>2628</v>
      </c>
      <c r="B252" s="29" t="s">
        <v>14</v>
      </c>
      <c r="C252" s="2" t="str">
        <f>IFERROR(VLOOKUP(A252,'2026'!A$6:B$700,2,0),"Falta de reinscribir")</f>
        <v>Reinscrito</v>
      </c>
    </row>
    <row r="253" spans="1:3">
      <c r="A253" s="28">
        <v>2630</v>
      </c>
      <c r="B253" s="29" t="s">
        <v>10</v>
      </c>
      <c r="C253" s="2" t="str">
        <f>IFERROR(VLOOKUP(A253,'2026'!A$6:B$700,2,0),"Falta de reinscribir")</f>
        <v>Reinscrito</v>
      </c>
    </row>
    <row r="254" spans="1:3">
      <c r="A254" s="28">
        <v>2634</v>
      </c>
      <c r="B254" s="29" t="s">
        <v>15</v>
      </c>
      <c r="C254" s="2" t="str">
        <f>IFERROR(VLOOKUP(A254,'2026'!A$6:B$700,2,0),"Falta de reinscribir")</f>
        <v>Reinscrito</v>
      </c>
    </row>
    <row r="255" spans="1:3">
      <c r="A255" s="28">
        <v>2635</v>
      </c>
      <c r="B255" s="29" t="s">
        <v>10</v>
      </c>
      <c r="C255" s="2" t="str">
        <f>IFERROR(VLOOKUP(A255,'2026'!A$6:B$700,2,0),"Falta de reinscribir")</f>
        <v>Reinscrito</v>
      </c>
    </row>
    <row r="256" spans="1:3">
      <c r="A256" s="28">
        <v>2636</v>
      </c>
      <c r="B256" s="29" t="s">
        <v>9</v>
      </c>
      <c r="C256" s="2" t="str">
        <f>IFERROR(VLOOKUP(A256,'2026'!A$6:B$700,2,0),"Falta de reinscribir")</f>
        <v>Reinscrito</v>
      </c>
    </row>
    <row r="257" spans="1:3">
      <c r="A257" s="28">
        <v>2637</v>
      </c>
      <c r="B257" s="29" t="s">
        <v>10</v>
      </c>
      <c r="C257" s="2" t="str">
        <f>IFERROR(VLOOKUP(A257,'2026'!A$6:B$700,2,0),"Falta de reinscribir")</f>
        <v>Pendiente</v>
      </c>
    </row>
    <row r="258" spans="1:3">
      <c r="A258" s="28">
        <v>2638</v>
      </c>
      <c r="B258" s="29" t="s">
        <v>12</v>
      </c>
      <c r="C258" s="2" t="str">
        <f>IFERROR(VLOOKUP(A258,'2026'!A$6:B$700,2,0),"Falta de reinscribir")</f>
        <v>Reinscrito</v>
      </c>
    </row>
    <row r="259" spans="1:3">
      <c r="A259" s="28">
        <v>2640</v>
      </c>
      <c r="B259" s="29" t="s">
        <v>12</v>
      </c>
      <c r="C259" s="2" t="str">
        <f>IFERROR(VLOOKUP(A259,'2026'!A$6:B$700,2,0),"Falta de reinscribir")</f>
        <v>Reinscrito</v>
      </c>
    </row>
    <row r="260" spans="1:3">
      <c r="A260" s="28">
        <v>2642</v>
      </c>
      <c r="B260" s="29" t="s">
        <v>13</v>
      </c>
      <c r="C260" s="2" t="str">
        <f>IFERROR(VLOOKUP(A260,'2026'!A$6:B$700,2,0),"Falta de reinscribir")</f>
        <v>Baja</v>
      </c>
    </row>
    <row r="261" spans="1:3">
      <c r="A261" s="28">
        <v>2643</v>
      </c>
      <c r="B261" s="29" t="s">
        <v>10</v>
      </c>
      <c r="C261" s="2" t="str">
        <f>IFERROR(VLOOKUP(A261,'2026'!A$6:B$700,2,0),"Falta de reinscribir")</f>
        <v>Reinscrito</v>
      </c>
    </row>
    <row r="262" spans="1:3">
      <c r="A262" s="28">
        <v>2645</v>
      </c>
      <c r="B262" s="29" t="s">
        <v>12</v>
      </c>
      <c r="C262" s="2" t="str">
        <f>IFERROR(VLOOKUP(A262,'2026'!A$6:B$700,2,0),"Falta de reinscribir")</f>
        <v>Reinscrito</v>
      </c>
    </row>
    <row r="263" spans="1:3">
      <c r="A263" s="28">
        <v>2646</v>
      </c>
      <c r="B263" s="29" t="s">
        <v>15</v>
      </c>
      <c r="C263" s="2" t="str">
        <f>IFERROR(VLOOKUP(A263,'2026'!A$6:B$700,2,0),"Falta de reinscribir")</f>
        <v>Reinscrito</v>
      </c>
    </row>
    <row r="264" spans="1:3">
      <c r="A264" s="28">
        <v>2649</v>
      </c>
      <c r="B264" s="29" t="s">
        <v>12</v>
      </c>
      <c r="C264" s="2" t="str">
        <f>IFERROR(VLOOKUP(A264,'2026'!A$6:B$700,2,0),"Falta de reinscribir")</f>
        <v>Reinscrito</v>
      </c>
    </row>
    <row r="265" spans="1:3">
      <c r="A265" s="28">
        <v>2650</v>
      </c>
      <c r="B265" s="29" t="s">
        <v>5</v>
      </c>
      <c r="C265" s="2" t="str">
        <f>IFERROR(VLOOKUP(A265,'2026'!A$6:B$700,2,0),"Falta de reinscribir")</f>
        <v>Reinscrito</v>
      </c>
    </row>
    <row r="266" spans="1:3">
      <c r="A266" s="28">
        <v>2651</v>
      </c>
      <c r="B266" s="29" t="s">
        <v>13</v>
      </c>
      <c r="C266" s="2" t="str">
        <f>IFERROR(VLOOKUP(A266,'2026'!A$6:B$700,2,0),"Falta de reinscribir")</f>
        <v>Reinscrito</v>
      </c>
    </row>
    <row r="267" spans="1:3">
      <c r="A267" s="28">
        <v>2654</v>
      </c>
      <c r="B267" s="29" t="s">
        <v>15</v>
      </c>
      <c r="C267" s="2" t="str">
        <f>IFERROR(VLOOKUP(A267,'2026'!A$6:B$700,2,0),"Falta de reinscribir")</f>
        <v>Reinscrito</v>
      </c>
    </row>
    <row r="268" spans="1:3">
      <c r="A268" s="28">
        <v>2655</v>
      </c>
      <c r="B268" s="29" t="s">
        <v>15</v>
      </c>
      <c r="C268" s="2" t="str">
        <f>IFERROR(VLOOKUP(A268,'2026'!A$6:B$700,2,0),"Falta de reinscribir")</f>
        <v>Reinscrito</v>
      </c>
    </row>
    <row r="269" spans="1:3">
      <c r="A269" s="28">
        <v>2657</v>
      </c>
      <c r="B269" s="29" t="s">
        <v>15</v>
      </c>
      <c r="C269" s="2" t="str">
        <f>IFERROR(VLOOKUP(A269,'2026'!A$6:B$700,2,0),"Falta de reinscribir")</f>
        <v>Pendiente</v>
      </c>
    </row>
    <row r="270" spans="1:3">
      <c r="A270" s="28">
        <v>2659</v>
      </c>
      <c r="B270" s="29" t="s">
        <v>14</v>
      </c>
      <c r="C270" s="2" t="str">
        <f>IFERROR(VLOOKUP(A270,'2026'!A$6:B$700,2,0),"Falta de reinscribir")</f>
        <v>Reinscrito</v>
      </c>
    </row>
    <row r="271" spans="1:3">
      <c r="A271" s="28">
        <v>2660</v>
      </c>
      <c r="B271" s="29" t="s">
        <v>17</v>
      </c>
      <c r="C271" s="2" t="str">
        <f>IFERROR(VLOOKUP(A271,'2026'!A$6:B$700,2,0),"Falta de reinscribir")</f>
        <v>Reinscrito</v>
      </c>
    </row>
    <row r="272" spans="1:3">
      <c r="A272" s="28">
        <v>2661</v>
      </c>
      <c r="B272" s="29" t="s">
        <v>9</v>
      </c>
      <c r="C272" s="2" t="str">
        <f>IFERROR(VLOOKUP(A272,'2026'!A$6:B$700,2,0),"Falta de reinscribir")</f>
        <v>Reinscrito</v>
      </c>
    </row>
    <row r="273" spans="1:3">
      <c r="A273" s="28">
        <v>2662</v>
      </c>
      <c r="B273" s="29" t="s">
        <v>13</v>
      </c>
      <c r="C273" s="2" t="str">
        <f>IFERROR(VLOOKUP(A273,'2026'!A$6:B$700,2,0),"Falta de reinscribir")</f>
        <v>Reinscrito</v>
      </c>
    </row>
    <row r="274" spans="1:3">
      <c r="A274" s="28">
        <v>2663</v>
      </c>
      <c r="B274" s="29" t="s">
        <v>14</v>
      </c>
      <c r="C274" s="2" t="str">
        <f>IFERROR(VLOOKUP(A274,'2026'!A$6:B$700,2,0),"Falta de reinscribir")</f>
        <v>Reinscrito</v>
      </c>
    </row>
    <row r="275" spans="1:3">
      <c r="A275" s="28">
        <v>2664</v>
      </c>
      <c r="B275" s="29" t="s">
        <v>8</v>
      </c>
      <c r="C275" s="2" t="str">
        <f>IFERROR(VLOOKUP(A275,'2026'!A$6:B$700,2,0),"Falta de reinscribir")</f>
        <v>Reinscrito</v>
      </c>
    </row>
    <row r="276" spans="1:3">
      <c r="A276" s="28">
        <v>2665</v>
      </c>
      <c r="B276" s="29" t="s">
        <v>14</v>
      </c>
      <c r="C276" s="2" t="str">
        <f>IFERROR(VLOOKUP(A276,'2026'!A$6:B$700,2,0),"Falta de reinscribir")</f>
        <v>Reinscrito</v>
      </c>
    </row>
    <row r="277" spans="1:3">
      <c r="A277" s="28">
        <v>2666</v>
      </c>
      <c r="B277" s="29" t="s">
        <v>15</v>
      </c>
      <c r="C277" s="2" t="str">
        <f>IFERROR(VLOOKUP(A277,'2026'!A$6:B$700,2,0),"Falta de reinscribir")</f>
        <v>Reinscrito</v>
      </c>
    </row>
    <row r="278" spans="1:3">
      <c r="A278" s="28">
        <v>2668</v>
      </c>
      <c r="B278" s="29" t="s">
        <v>9</v>
      </c>
      <c r="C278" s="2" t="str">
        <f>IFERROR(VLOOKUP(A278,'2026'!A$6:B$700,2,0),"Falta de reinscribir")</f>
        <v>Reinscrito</v>
      </c>
    </row>
    <row r="279" spans="1:3">
      <c r="A279" s="28">
        <v>2671</v>
      </c>
      <c r="B279" s="29" t="s">
        <v>17</v>
      </c>
      <c r="C279" s="2" t="str">
        <f>IFERROR(VLOOKUP(A279,'2026'!A$6:B$700,2,0),"Falta de reinscribir")</f>
        <v>Reinscrito</v>
      </c>
    </row>
    <row r="280" spans="1:3">
      <c r="A280" s="28">
        <v>2672</v>
      </c>
      <c r="B280" s="29" t="s">
        <v>14</v>
      </c>
      <c r="C280" s="2" t="str">
        <f>IFERROR(VLOOKUP(A280,'2026'!A$6:B$700,2,0),"Falta de reinscribir")</f>
        <v>Reinscrito</v>
      </c>
    </row>
    <row r="281" spans="1:3">
      <c r="A281" s="28">
        <v>2673</v>
      </c>
      <c r="B281" s="29" t="s">
        <v>14</v>
      </c>
      <c r="C281" s="2" t="str">
        <f>IFERROR(VLOOKUP(A281,'2026'!A$6:B$700,2,0),"Falta de reinscribir")</f>
        <v>Reinscrito</v>
      </c>
    </row>
    <row r="282" spans="1:3">
      <c r="A282" s="28">
        <v>2674</v>
      </c>
      <c r="B282" s="29" t="s">
        <v>13</v>
      </c>
      <c r="C282" s="2" t="str">
        <f>IFERROR(VLOOKUP(A282,'2026'!A$6:B$700,2,0),"Falta de reinscribir")</f>
        <v>Reinscrito</v>
      </c>
    </row>
    <row r="283" spans="1:3">
      <c r="A283" s="28">
        <v>2675</v>
      </c>
      <c r="B283" s="29" t="s">
        <v>17</v>
      </c>
      <c r="C283" s="2" t="str">
        <f>IFERROR(VLOOKUP(A283,'2026'!A$6:B$700,2,0),"Falta de reinscribir")</f>
        <v>Pendiente</v>
      </c>
    </row>
    <row r="284" spans="1:3">
      <c r="A284" s="28">
        <v>2676</v>
      </c>
      <c r="B284" s="29" t="s">
        <v>11</v>
      </c>
      <c r="C284" s="2" t="str">
        <f>IFERROR(VLOOKUP(A284,'2026'!A$6:B$700,2,0),"Falta de reinscribir")</f>
        <v>Reinscrito</v>
      </c>
    </row>
    <row r="285" spans="1:3">
      <c r="A285" s="28">
        <v>2678</v>
      </c>
      <c r="B285" s="29" t="s">
        <v>15</v>
      </c>
      <c r="C285" s="2" t="str">
        <f>IFERROR(VLOOKUP(A285,'2026'!A$6:B$700,2,0),"Falta de reinscribir")</f>
        <v>Reinscrito</v>
      </c>
    </row>
    <row r="286" spans="1:3">
      <c r="A286" s="28">
        <v>2679</v>
      </c>
      <c r="B286" s="29" t="s">
        <v>2</v>
      </c>
      <c r="C286" s="2" t="str">
        <f>IFERROR(VLOOKUP(A286,'2026'!A$6:B$700,2,0),"Falta de reinscribir")</f>
        <v>Reinscrito</v>
      </c>
    </row>
    <row r="287" spans="1:3">
      <c r="A287" s="28">
        <v>2680</v>
      </c>
      <c r="B287" s="29" t="s">
        <v>16</v>
      </c>
      <c r="C287" s="2" t="str">
        <f>IFERROR(VLOOKUP(A287,'2026'!A$6:B$700,2,0),"Falta de reinscribir")</f>
        <v>Reinscrito</v>
      </c>
    </row>
    <row r="288" spans="1:3">
      <c r="A288" s="28">
        <v>2682</v>
      </c>
      <c r="B288" s="29" t="s">
        <v>15</v>
      </c>
      <c r="C288" s="2" t="str">
        <f>IFERROR(VLOOKUP(A288,'2026'!A$6:B$700,2,0),"Falta de reinscribir")</f>
        <v>Reinscrito</v>
      </c>
    </row>
    <row r="289" spans="1:3">
      <c r="A289" s="28">
        <v>2683</v>
      </c>
      <c r="B289" s="29" t="s">
        <v>15</v>
      </c>
      <c r="C289" s="2" t="str">
        <f>IFERROR(VLOOKUP(A289,'2026'!A$6:B$700,2,0),"Falta de reinscribir")</f>
        <v>Pendiente</v>
      </c>
    </row>
    <row r="290" spans="1:3">
      <c r="A290" s="28">
        <v>2684</v>
      </c>
      <c r="B290" s="29" t="s">
        <v>16</v>
      </c>
      <c r="C290" s="2" t="str">
        <f>IFERROR(VLOOKUP(A290,'2026'!A$6:B$700,2,0),"Falta de reinscribir")</f>
        <v>Reinscrito</v>
      </c>
    </row>
    <row r="291" spans="1:3">
      <c r="A291" s="28">
        <v>2686</v>
      </c>
      <c r="B291" s="29" t="s">
        <v>14</v>
      </c>
      <c r="C291" s="2" t="str">
        <f>IFERROR(VLOOKUP(A291,'2026'!A$6:B$700,2,0),"Falta de reinscribir")</f>
        <v>Reinscrito</v>
      </c>
    </row>
    <row r="292" spans="1:3">
      <c r="A292" s="28">
        <v>2687</v>
      </c>
      <c r="B292" s="29" t="s">
        <v>14</v>
      </c>
      <c r="C292" s="2" t="str">
        <f>IFERROR(VLOOKUP(A292,'2026'!A$6:B$700,2,0),"Falta de reinscribir")</f>
        <v>Pendiente</v>
      </c>
    </row>
    <row r="293" spans="1:3">
      <c r="A293" s="28">
        <v>2688</v>
      </c>
      <c r="B293" s="29" t="s">
        <v>14</v>
      </c>
      <c r="C293" s="2" t="str">
        <f>IFERROR(VLOOKUP(A293,'2026'!A$6:B$700,2,0),"Falta de reinscribir")</f>
        <v>Pendiente</v>
      </c>
    </row>
    <row r="294" spans="1:3">
      <c r="A294" s="28">
        <v>2690</v>
      </c>
      <c r="B294" s="29" t="s">
        <v>18</v>
      </c>
      <c r="C294" s="2" t="str">
        <f>IFERROR(VLOOKUP(A294,'2026'!A$6:B$700,2,0),"Falta de reinscribir")</f>
        <v>Reinscrito</v>
      </c>
    </row>
    <row r="295" spans="1:3">
      <c r="A295" s="28">
        <v>2691</v>
      </c>
      <c r="B295" s="29" t="s">
        <v>17</v>
      </c>
      <c r="C295" s="2" t="str">
        <f>IFERROR(VLOOKUP(A295,'2026'!A$6:B$700,2,0),"Falta de reinscribir")</f>
        <v>Reinscrito</v>
      </c>
    </row>
    <row r="296" spans="1:3">
      <c r="A296" s="28">
        <v>2692</v>
      </c>
      <c r="B296" s="29" t="s">
        <v>17</v>
      </c>
      <c r="C296" s="2" t="str">
        <f>IFERROR(VLOOKUP(A296,'2026'!A$6:B$700,2,0),"Falta de reinscribir")</f>
        <v>Reinscrito</v>
      </c>
    </row>
    <row r="297" spans="1:3">
      <c r="A297" s="28">
        <v>2694</v>
      </c>
      <c r="B297" s="29" t="s">
        <v>18</v>
      </c>
      <c r="C297" s="2" t="str">
        <f>IFERROR(VLOOKUP(A297,'2026'!A$6:B$700,2,0),"Falta de reinscribir")</f>
        <v>Reinscrito</v>
      </c>
    </row>
    <row r="298" spans="1:3">
      <c r="A298" s="28">
        <v>2696</v>
      </c>
      <c r="B298" s="29" t="s">
        <v>17</v>
      </c>
      <c r="C298" s="2" t="str">
        <f>IFERROR(VLOOKUP(A298,'2026'!A$6:B$700,2,0),"Falta de reinscribir")</f>
        <v>Reinscrito</v>
      </c>
    </row>
    <row r="299" spans="1:3">
      <c r="A299" s="28">
        <v>2698</v>
      </c>
      <c r="B299" s="29" t="s">
        <v>16</v>
      </c>
      <c r="C299" s="2" t="str">
        <f>IFERROR(VLOOKUP(A299,'2026'!A$6:B$700,2,0),"Falta de reinscribir")</f>
        <v>Reinscrito</v>
      </c>
    </row>
    <row r="300" spans="1:3">
      <c r="A300" s="28">
        <v>2699</v>
      </c>
      <c r="B300" s="29" t="s">
        <v>14</v>
      </c>
      <c r="C300" s="2" t="str">
        <f>IFERROR(VLOOKUP(A300,'2026'!A$6:B$700,2,0),"Falta de reinscribir")</f>
        <v>Reinscrito</v>
      </c>
    </row>
    <row r="301" spans="1:3">
      <c r="A301" s="28">
        <v>2701</v>
      </c>
      <c r="B301" s="29" t="s">
        <v>18</v>
      </c>
      <c r="C301" s="2" t="str">
        <f>IFERROR(VLOOKUP(A301,'2026'!A$6:B$700,2,0),"Falta de reinscribir")</f>
        <v>Pendiente</v>
      </c>
    </row>
    <row r="302" spans="1:3">
      <c r="A302" s="28">
        <v>2702</v>
      </c>
      <c r="B302" s="29" t="s">
        <v>13</v>
      </c>
      <c r="C302" s="2" t="str">
        <f>IFERROR(VLOOKUP(A302,'2026'!A$6:B$700,2,0),"Falta de reinscribir")</f>
        <v>Reinscrito</v>
      </c>
    </row>
    <row r="303" spans="1:3">
      <c r="A303" s="28">
        <v>2703</v>
      </c>
      <c r="B303" s="29" t="s">
        <v>12</v>
      </c>
      <c r="C303" s="2" t="str">
        <f>IFERROR(VLOOKUP(A303,'2026'!A$6:B$700,2,0),"Falta de reinscribir")</f>
        <v>Reinscrito</v>
      </c>
    </row>
    <row r="304" spans="1:3">
      <c r="A304" s="28">
        <v>2704</v>
      </c>
      <c r="B304" s="29" t="s">
        <v>15</v>
      </c>
      <c r="C304" s="2" t="str">
        <f>IFERROR(VLOOKUP(A304,'2026'!A$6:B$700,2,0),"Falta de reinscribir")</f>
        <v>Reinscrito</v>
      </c>
    </row>
    <row r="305" spans="1:3">
      <c r="A305" s="28">
        <v>2705</v>
      </c>
      <c r="B305" s="29" t="s">
        <v>16</v>
      </c>
      <c r="C305" s="2" t="str">
        <f>IFERROR(VLOOKUP(A305,'2026'!A$6:B$700,2,0),"Falta de reinscribir")</f>
        <v>Reinscrito</v>
      </c>
    </row>
    <row r="306" spans="1:3">
      <c r="A306" s="28">
        <v>2706</v>
      </c>
      <c r="B306" s="29" t="s">
        <v>18</v>
      </c>
      <c r="C306" s="2" t="str">
        <f>IFERROR(VLOOKUP(A306,'2026'!A$6:B$700,2,0),"Falta de reinscribir")</f>
        <v>Reinscrito</v>
      </c>
    </row>
    <row r="307" spans="1:3">
      <c r="A307" s="28">
        <v>2707</v>
      </c>
      <c r="B307" s="29" t="s">
        <v>16</v>
      </c>
      <c r="C307" s="2" t="str">
        <f>IFERROR(VLOOKUP(A307,'2026'!A$6:B$700,2,0),"Falta de reinscribir")</f>
        <v>Reinscrito</v>
      </c>
    </row>
    <row r="308" spans="1:3">
      <c r="A308" s="28">
        <v>2708</v>
      </c>
      <c r="B308" s="29" t="s">
        <v>3</v>
      </c>
      <c r="C308" s="2" t="str">
        <f>IFERROR(VLOOKUP(A308,'2026'!A$6:B$700,2,0),"Falta de reinscribir")</f>
        <v>Reinscrito</v>
      </c>
    </row>
    <row r="309" spans="1:3">
      <c r="A309" s="28">
        <v>2709</v>
      </c>
      <c r="B309" s="29" t="s">
        <v>17</v>
      </c>
      <c r="C309" s="2" t="str">
        <f>IFERROR(VLOOKUP(A309,'2026'!A$6:B$700,2,0),"Falta de reinscribir")</f>
        <v>Reinscrito</v>
      </c>
    </row>
    <row r="310" spans="1:3">
      <c r="A310" s="28">
        <v>2710</v>
      </c>
      <c r="B310" s="29" t="s">
        <v>17</v>
      </c>
      <c r="C310" s="2" t="str">
        <f>IFERROR(VLOOKUP(A310,'2026'!A$6:B$700,2,0),"Falta de reinscribir")</f>
        <v>Reinscrito</v>
      </c>
    </row>
    <row r="311" spans="1:3">
      <c r="A311" s="28">
        <v>2711</v>
      </c>
      <c r="B311" s="29" t="s">
        <v>8</v>
      </c>
      <c r="C311" s="2" t="str">
        <f>IFERROR(VLOOKUP(A311,'2026'!A$6:B$700,2,0),"Falta de reinscribir")</f>
        <v>Reinscrito</v>
      </c>
    </row>
    <row r="312" spans="1:3">
      <c r="A312" s="28">
        <v>2712</v>
      </c>
      <c r="B312" s="29" t="s">
        <v>12</v>
      </c>
      <c r="C312" s="2" t="str">
        <f>IFERROR(VLOOKUP(A312,'2026'!A$6:B$700,2,0),"Falta de reinscribir")</f>
        <v>Reinscrito</v>
      </c>
    </row>
    <row r="313" spans="1:3">
      <c r="A313" s="28">
        <v>2715</v>
      </c>
      <c r="B313" s="29" t="s">
        <v>17</v>
      </c>
      <c r="C313" s="2" t="str">
        <f>IFERROR(VLOOKUP(A313,'2026'!A$6:B$700,2,0),"Falta de reinscribir")</f>
        <v>Reinscrito</v>
      </c>
    </row>
    <row r="314" spans="1:3">
      <c r="A314" s="28">
        <v>2718</v>
      </c>
      <c r="B314" s="29" t="s">
        <v>15</v>
      </c>
      <c r="C314" s="2" t="str">
        <f>IFERROR(VLOOKUP(A314,'2026'!A$6:B$700,2,0),"Falta de reinscribir")</f>
        <v>Reinscrito</v>
      </c>
    </row>
    <row r="315" spans="1:3">
      <c r="A315" s="28">
        <v>2719</v>
      </c>
      <c r="B315" s="29" t="s">
        <v>13</v>
      </c>
      <c r="C315" s="2" t="str">
        <f>IFERROR(VLOOKUP(A315,'2026'!A$6:B$700,2,0),"Falta de reinscribir")</f>
        <v>Pendiente</v>
      </c>
    </row>
    <row r="316" spans="1:3">
      <c r="A316" s="28">
        <v>2721</v>
      </c>
      <c r="B316" s="29" t="s">
        <v>18</v>
      </c>
      <c r="C316" s="2" t="str">
        <f>IFERROR(VLOOKUP(A316,'2026'!A$6:B$700,2,0),"Falta de reinscribir")</f>
        <v>Reinscrito</v>
      </c>
    </row>
    <row r="317" spans="1:3">
      <c r="A317" s="28">
        <v>2722</v>
      </c>
      <c r="B317" s="29" t="s">
        <v>18</v>
      </c>
      <c r="C317" s="2" t="str">
        <f>IFERROR(VLOOKUP(A317,'2026'!A$6:B$700,2,0),"Falta de reinscribir")</f>
        <v>Reinscrito</v>
      </c>
    </row>
    <row r="318" spans="1:3">
      <c r="A318" s="28">
        <v>2723</v>
      </c>
      <c r="B318" s="29" t="s">
        <v>18</v>
      </c>
      <c r="C318" s="2" t="str">
        <f>IFERROR(VLOOKUP(A318,'2026'!A$6:B$700,2,0),"Falta de reinscribir")</f>
        <v>Reinscrito</v>
      </c>
    </row>
    <row r="319" spans="1:3">
      <c r="A319" s="28">
        <v>2724</v>
      </c>
      <c r="B319" s="29" t="s">
        <v>18</v>
      </c>
      <c r="C319" s="2" t="str">
        <f>IFERROR(VLOOKUP(A319,'2026'!A$6:B$700,2,0),"Falta de reinscribir")</f>
        <v>Reinscrito</v>
      </c>
    </row>
    <row r="320" spans="1:3">
      <c r="A320" s="28">
        <v>2725</v>
      </c>
      <c r="B320" s="29" t="s">
        <v>13</v>
      </c>
      <c r="C320" s="2" t="str">
        <f>IFERROR(VLOOKUP(A320,'2026'!A$6:B$700,2,0),"Falta de reinscribir")</f>
        <v>Reinscrito</v>
      </c>
    </row>
    <row r="321" spans="1:3">
      <c r="A321" s="28">
        <v>2726</v>
      </c>
      <c r="B321" s="29" t="s">
        <v>17</v>
      </c>
      <c r="C321" s="2" t="str">
        <f>IFERROR(VLOOKUP(A321,'2026'!A$6:B$700,2,0),"Falta de reinscribir")</f>
        <v>Reinscrito</v>
      </c>
    </row>
    <row r="322" spans="1:3">
      <c r="A322" s="28">
        <v>2727</v>
      </c>
      <c r="B322" s="29" t="s">
        <v>14</v>
      </c>
      <c r="C322" s="2" t="str">
        <f>IFERROR(VLOOKUP(A322,'2026'!A$6:B$700,2,0),"Falta de reinscribir")</f>
        <v>Reinscrito</v>
      </c>
    </row>
    <row r="323" spans="1:3">
      <c r="A323" s="28">
        <v>2728</v>
      </c>
      <c r="B323" s="29" t="s">
        <v>18</v>
      </c>
      <c r="C323" s="2" t="str">
        <f>IFERROR(VLOOKUP(A323,'2026'!A$6:B$700,2,0),"Falta de reinscribir")</f>
        <v>Reinscrito</v>
      </c>
    </row>
    <row r="324" spans="1:3">
      <c r="A324" s="28">
        <v>2732</v>
      </c>
      <c r="B324" s="29" t="s">
        <v>18</v>
      </c>
      <c r="C324" s="2" t="str">
        <f>IFERROR(VLOOKUP(A324,'2026'!A$6:B$700,2,0),"Falta de reinscribir")</f>
        <v>Reinscrito</v>
      </c>
    </row>
    <row r="325" spans="1:3">
      <c r="A325" s="28">
        <v>2733</v>
      </c>
      <c r="B325" s="29" t="s">
        <v>13</v>
      </c>
      <c r="C325" s="2" t="str">
        <f>IFERROR(VLOOKUP(A325,'2026'!A$6:B$700,2,0),"Falta de reinscribir")</f>
        <v>Reinscrito</v>
      </c>
    </row>
    <row r="326" spans="1:3">
      <c r="A326" s="28">
        <v>2734</v>
      </c>
      <c r="B326" s="29" t="s">
        <v>17</v>
      </c>
      <c r="C326" s="2" t="str">
        <f>IFERROR(VLOOKUP(A326,'2026'!A$6:B$700,2,0),"Falta de reinscribir")</f>
        <v>Reinscrito</v>
      </c>
    </row>
    <row r="327" spans="1:3">
      <c r="A327" s="28">
        <v>2736</v>
      </c>
      <c r="B327" s="29" t="s">
        <v>11</v>
      </c>
      <c r="C327" s="2" t="str">
        <f>IFERROR(VLOOKUP(A327,'2026'!A$6:B$700,2,0),"Falta de reinscribir")</f>
        <v>Pendiente</v>
      </c>
    </row>
    <row r="328" spans="1:3">
      <c r="A328" s="28">
        <v>2737</v>
      </c>
      <c r="B328" s="29" t="s">
        <v>12</v>
      </c>
      <c r="C328" s="2" t="str">
        <f>IFERROR(VLOOKUP(A328,'2026'!A$6:B$700,2,0),"Falta de reinscribir")</f>
        <v>Reinscrito</v>
      </c>
    </row>
    <row r="329" spans="1:3">
      <c r="A329" s="28">
        <v>2738</v>
      </c>
      <c r="B329" s="29" t="s">
        <v>18</v>
      </c>
      <c r="C329" s="2" t="str">
        <f>IFERROR(VLOOKUP(A329,'2026'!A$6:B$700,2,0),"Falta de reinscribir")</f>
        <v>Reinscrito</v>
      </c>
    </row>
    <row r="330" spans="1:3">
      <c r="A330" s="28">
        <v>2739</v>
      </c>
      <c r="B330" s="29" t="s">
        <v>11</v>
      </c>
      <c r="C330" s="2" t="str">
        <f>IFERROR(VLOOKUP(A330,'2026'!A$6:B$700,2,0),"Falta de reinscribir")</f>
        <v>Reinscrito</v>
      </c>
    </row>
    <row r="331" spans="1:3">
      <c r="A331" s="28">
        <v>2740</v>
      </c>
      <c r="B331" s="29" t="s">
        <v>16</v>
      </c>
      <c r="C331" s="2" t="str">
        <f>IFERROR(VLOOKUP(A331,'2026'!A$6:B$700,2,0),"Falta de reinscribir")</f>
        <v>Pendiente</v>
      </c>
    </row>
    <row r="332" spans="1:3">
      <c r="A332" s="28">
        <v>2741</v>
      </c>
      <c r="B332" s="29" t="s">
        <v>18</v>
      </c>
      <c r="C332" s="2" t="str">
        <f>IFERROR(VLOOKUP(A332,'2026'!A$6:B$700,2,0),"Falta de reinscribir")</f>
        <v>Reinscrito</v>
      </c>
    </row>
    <row r="333" spans="1:3">
      <c r="A333" s="28">
        <v>2742</v>
      </c>
      <c r="B333" s="29" t="s">
        <v>16</v>
      </c>
      <c r="C333" s="2" t="str">
        <f>IFERROR(VLOOKUP(A333,'2026'!A$6:B$700,2,0),"Falta de reinscribir")</f>
        <v>Reinscrito</v>
      </c>
    </row>
    <row r="334" spans="1:3">
      <c r="A334" s="28">
        <v>2748</v>
      </c>
      <c r="B334" s="29" t="s">
        <v>16</v>
      </c>
      <c r="C334" s="2" t="str">
        <f>IFERROR(VLOOKUP(A334,'2026'!A$6:B$700,2,0),"Falta de reinscribir")</f>
        <v>Reinscrito</v>
      </c>
    </row>
    <row r="335" spans="1:3">
      <c r="A335" s="28">
        <v>2749</v>
      </c>
      <c r="B335" s="29" t="s">
        <v>16</v>
      </c>
      <c r="C335" s="2" t="str">
        <f>IFERROR(VLOOKUP(A335,'2026'!A$6:B$700,2,0),"Falta de reinscribir")</f>
        <v>Reinscrito</v>
      </c>
    </row>
    <row r="336" spans="1:3">
      <c r="A336" s="28">
        <v>2750</v>
      </c>
      <c r="B336" s="29" t="s">
        <v>17</v>
      </c>
      <c r="C336" s="2" t="str">
        <f>IFERROR(VLOOKUP(A336,'2026'!A$6:B$700,2,0),"Falta de reinscribir")</f>
        <v>Reinscrito</v>
      </c>
    </row>
    <row r="337" spans="1:3">
      <c r="A337" s="28">
        <v>2751</v>
      </c>
      <c r="B337" s="29" t="s">
        <v>13</v>
      </c>
      <c r="C337" s="2" t="str">
        <f>IFERROR(VLOOKUP(A337,'2026'!A$6:B$700,2,0),"Falta de reinscribir")</f>
        <v>Pendiente</v>
      </c>
    </row>
    <row r="338" spans="1:3">
      <c r="A338" s="28">
        <v>2752</v>
      </c>
      <c r="B338" s="29" t="s">
        <v>9</v>
      </c>
      <c r="C338" s="2" t="str">
        <f>IFERROR(VLOOKUP(A338,'2026'!A$6:B$700,2,0),"Falta de reinscribir")</f>
        <v>Reinscrito</v>
      </c>
    </row>
    <row r="339" spans="1:3">
      <c r="A339" s="28">
        <v>2754</v>
      </c>
      <c r="B339" s="29" t="s">
        <v>14</v>
      </c>
      <c r="C339" s="2" t="str">
        <f>IFERROR(VLOOKUP(A339,'2026'!A$6:B$700,2,0),"Falta de reinscribir")</f>
        <v>Reinscrito</v>
      </c>
    </row>
    <row r="340" spans="1:3">
      <c r="A340" s="28">
        <v>2755</v>
      </c>
      <c r="B340" s="29" t="s">
        <v>15</v>
      </c>
      <c r="C340" s="2" t="str">
        <f>IFERROR(VLOOKUP(A340,'2026'!A$6:B$700,2,0),"Falta de reinscribir")</f>
        <v>Reinscrito</v>
      </c>
    </row>
    <row r="341" spans="1:3">
      <c r="A341" s="28">
        <v>2757</v>
      </c>
      <c r="B341" s="29" t="s">
        <v>16</v>
      </c>
      <c r="C341" s="2" t="str">
        <f>IFERROR(VLOOKUP(A341,'2026'!A$6:B$700,2,0),"Falta de reinscribir")</f>
        <v>Pendiente</v>
      </c>
    </row>
    <row r="342" spans="1:3">
      <c r="A342" s="28">
        <v>2758</v>
      </c>
      <c r="B342" s="29" t="s">
        <v>16</v>
      </c>
      <c r="C342" s="2" t="str">
        <f>IFERROR(VLOOKUP(A342,'2026'!A$6:B$700,2,0),"Falta de reinscribir")</f>
        <v>Pendiente</v>
      </c>
    </row>
    <row r="343" spans="1:3">
      <c r="A343" s="28">
        <v>2760</v>
      </c>
      <c r="B343" s="29" t="s">
        <v>16</v>
      </c>
      <c r="C343" s="2" t="str">
        <f>IFERROR(VLOOKUP(A343,'2026'!A$6:B$700,2,0),"Falta de reinscribir")</f>
        <v>Reinscrito</v>
      </c>
    </row>
    <row r="344" spans="1:3">
      <c r="A344" s="28">
        <v>2761</v>
      </c>
      <c r="B344" s="29" t="s">
        <v>15</v>
      </c>
      <c r="C344" s="2" t="str">
        <f>IFERROR(VLOOKUP(A344,'2026'!A$6:B$700,2,0),"Falta de reinscribir")</f>
        <v>Pendiente</v>
      </c>
    </row>
    <row r="345" spans="1:3">
      <c r="A345" s="28">
        <v>2762</v>
      </c>
      <c r="B345" s="29" t="s">
        <v>10</v>
      </c>
      <c r="C345" s="2" t="str">
        <f>IFERROR(VLOOKUP(A345,'2026'!A$6:B$700,2,0),"Falta de reinscribir")</f>
        <v>Reinscrito</v>
      </c>
    </row>
    <row r="346" spans="1:3">
      <c r="A346" s="28">
        <v>2763</v>
      </c>
      <c r="B346" s="29" t="s">
        <v>17</v>
      </c>
      <c r="C346" s="2" t="str">
        <f>IFERROR(VLOOKUP(A346,'2026'!A$6:B$700,2,0),"Falta de reinscribir")</f>
        <v>Pendiente</v>
      </c>
    </row>
    <row r="347" spans="1:3">
      <c r="A347" s="28">
        <v>2764</v>
      </c>
      <c r="B347" s="29" t="s">
        <v>17</v>
      </c>
      <c r="C347" s="2" t="str">
        <f>IFERROR(VLOOKUP(A347,'2026'!A$6:B$700,2,0),"Falta de reinscribir")</f>
        <v>Reinscrito</v>
      </c>
    </row>
    <row r="348" spans="1:3">
      <c r="A348" s="28">
        <v>2765</v>
      </c>
      <c r="B348" s="29" t="s">
        <v>16</v>
      </c>
      <c r="C348" s="2" t="str">
        <f>IFERROR(VLOOKUP(A348,'2026'!A$6:B$700,2,0),"Falta de reinscribir")</f>
        <v>Reinscrito</v>
      </c>
    </row>
    <row r="349" spans="1:3">
      <c r="A349" s="28">
        <v>2766</v>
      </c>
      <c r="B349" s="29" t="s">
        <v>18</v>
      </c>
      <c r="C349" s="2" t="str">
        <f>IFERROR(VLOOKUP(A349,'2026'!A$6:B$700,2,0),"Falta de reinscribir")</f>
        <v>Reinscrito</v>
      </c>
    </row>
    <row r="350" spans="1:3">
      <c r="A350" s="28">
        <v>2767</v>
      </c>
      <c r="B350" s="29" t="s">
        <v>15</v>
      </c>
      <c r="C350" s="2" t="str">
        <f>IFERROR(VLOOKUP(A350,'2026'!A$6:B$700,2,0),"Falta de reinscribir")</f>
        <v>Reinscrito</v>
      </c>
    </row>
    <row r="351" spans="1:3">
      <c r="A351" s="28">
        <v>2768</v>
      </c>
      <c r="B351" s="29" t="s">
        <v>18</v>
      </c>
      <c r="C351" s="2" t="str">
        <f>IFERROR(VLOOKUP(A351,'2026'!A$6:B$700,2,0),"Falta de reinscribir")</f>
        <v>Reinscrito</v>
      </c>
    </row>
    <row r="352" spans="1:3">
      <c r="A352" s="28">
        <v>2771</v>
      </c>
      <c r="B352" s="29" t="s">
        <v>17</v>
      </c>
      <c r="C352" s="2" t="str">
        <f>IFERROR(VLOOKUP(A352,'2026'!A$6:B$700,2,0),"Falta de reinscribir")</f>
        <v>Reinscrito</v>
      </c>
    </row>
    <row r="353" spans="1:3">
      <c r="A353" s="28">
        <v>2772</v>
      </c>
      <c r="B353" s="29" t="s">
        <v>12</v>
      </c>
      <c r="C353" s="2" t="str">
        <f>IFERROR(VLOOKUP(A353,'2026'!A$6:B$700,2,0),"Falta de reinscribir")</f>
        <v>Reinscrito</v>
      </c>
    </row>
    <row r="354" spans="1:3">
      <c r="A354" s="28">
        <v>2773</v>
      </c>
      <c r="B354" s="29" t="s">
        <v>18</v>
      </c>
      <c r="C354" s="2" t="str">
        <f>IFERROR(VLOOKUP(A354,'2026'!A$6:B$700,2,0),"Falta de reinscribir")</f>
        <v>Reinscrito</v>
      </c>
    </row>
    <row r="355" spans="1:3">
      <c r="A355" s="28">
        <v>2774</v>
      </c>
      <c r="B355" s="29" t="s">
        <v>12</v>
      </c>
      <c r="C355" s="2" t="str">
        <f>IFERROR(VLOOKUP(A355,'2026'!A$6:B$700,2,0),"Falta de reinscribir")</f>
        <v>Reinscrito</v>
      </c>
    </row>
    <row r="356" spans="1:3">
      <c r="A356" s="28">
        <v>2777</v>
      </c>
      <c r="B356" s="29" t="s">
        <v>8</v>
      </c>
      <c r="C356" s="2" t="str">
        <f>IFERROR(VLOOKUP(A356,'2026'!A$6:B$700,2,0),"Falta de reinscribir")</f>
        <v>Pendiente</v>
      </c>
    </row>
    <row r="357" spans="1:3">
      <c r="A357" s="28">
        <v>2778</v>
      </c>
      <c r="B357" s="29" t="s">
        <v>16</v>
      </c>
      <c r="C357" s="2" t="str">
        <f>IFERROR(VLOOKUP(A357,'2026'!A$6:B$700,2,0),"Falta de reinscribir")</f>
        <v>Reinscrito</v>
      </c>
    </row>
    <row r="358" spans="1:3">
      <c r="A358" s="28">
        <v>2779</v>
      </c>
      <c r="B358" s="29" t="s">
        <v>16</v>
      </c>
      <c r="C358" s="2" t="str">
        <f>IFERROR(VLOOKUP(A358,'2026'!A$6:B$700,2,0),"Falta de reinscribir")</f>
        <v>Reinscrito</v>
      </c>
    </row>
    <row r="359" spans="1:3">
      <c r="A359" s="28">
        <v>2780</v>
      </c>
      <c r="B359" s="29" t="s">
        <v>11</v>
      </c>
      <c r="C359" s="2" t="str">
        <f>IFERROR(VLOOKUP(A359,'2026'!A$6:B$700,2,0),"Falta de reinscribir")</f>
        <v>Pendiente</v>
      </c>
    </row>
    <row r="360" spans="1:3">
      <c r="A360" s="28">
        <v>5818</v>
      </c>
      <c r="B360" s="29" t="s">
        <v>1</v>
      </c>
      <c r="C360" s="2" t="str">
        <f>IFERROR(VLOOKUP(A360,'2026'!A$6:B$700,2,0),"Falta de reinscribir")</f>
        <v>Reinscrito</v>
      </c>
    </row>
    <row r="361" spans="1:3">
      <c r="A361" s="28">
        <v>6177</v>
      </c>
      <c r="B361" s="29" t="s">
        <v>4</v>
      </c>
      <c r="C361" s="2" t="str">
        <f>IFERROR(VLOOKUP(A361,'2026'!A$6:B$700,2,0),"Falta de reinscribir")</f>
        <v>Reinscrito</v>
      </c>
    </row>
    <row r="362" spans="1:3">
      <c r="A362" s="28">
        <v>6425</v>
      </c>
      <c r="B362" s="29" t="s">
        <v>6</v>
      </c>
      <c r="C362" s="2" t="str">
        <f>IFERROR(VLOOKUP(A362,'2026'!A$6:B$700,2,0),"Falta de reinscribir")</f>
        <v>Reinscrito</v>
      </c>
    </row>
    <row r="363" spans="1:3">
      <c r="A363" s="28">
        <v>6578</v>
      </c>
      <c r="B363" s="29" t="s">
        <v>11</v>
      </c>
      <c r="C363" s="2" t="str">
        <f>IFERROR(VLOOKUP(A363,'2026'!A$6:B$700,2,0),"Falta de reinscribir")</f>
        <v>Reinscrito</v>
      </c>
    </row>
    <row r="364" spans="1:3">
      <c r="A364" s="28">
        <v>6715</v>
      </c>
      <c r="B364" s="29" t="s">
        <v>2</v>
      </c>
      <c r="C364" s="2" t="str">
        <f>IFERROR(VLOOKUP(A364,'2026'!A$6:B$700,2,0),"Falta de reinscribir")</f>
        <v>Reinscrito</v>
      </c>
    </row>
    <row r="365" spans="1:3">
      <c r="A365" s="28">
        <v>6839</v>
      </c>
      <c r="B365" s="29" t="s">
        <v>9</v>
      </c>
      <c r="C365" s="2" t="str">
        <f>IFERROR(VLOOKUP(A365,'2026'!A$6:B$700,2,0),"Falta de reinscribir")</f>
        <v>Pendiente</v>
      </c>
    </row>
    <row r="366" spans="1:3">
      <c r="A366" s="28">
        <v>7059</v>
      </c>
      <c r="B366" s="29" t="s">
        <v>14</v>
      </c>
      <c r="C366" s="2" t="str">
        <f>IFERROR(VLOOKUP(A366,'2026'!A$6:B$700,2,0),"Falta de reinscribir")</f>
        <v>Reinscrito</v>
      </c>
    </row>
    <row r="367" spans="1:3">
      <c r="A367" s="28">
        <v>7169</v>
      </c>
      <c r="B367" s="29" t="s">
        <v>9</v>
      </c>
      <c r="C367" s="2" t="str">
        <f>IFERROR(VLOOKUP(A367,'2026'!A$6:B$700,2,0),"Falta de reinscribir")</f>
        <v>Pendiente</v>
      </c>
    </row>
    <row r="368" spans="1:3">
      <c r="A368" s="28">
        <v>7274</v>
      </c>
      <c r="B368" s="29" t="s">
        <v>18</v>
      </c>
      <c r="C368" s="2" t="str">
        <f>IFERROR(VLOOKUP(A368,'2026'!A$6:B$700,2,0),"Falta de reinscribir")</f>
        <v>Reinscrito</v>
      </c>
    </row>
    <row r="369" spans="1:3">
      <c r="A369" s="28">
        <v>7295</v>
      </c>
      <c r="B369" s="29" t="s">
        <v>16</v>
      </c>
      <c r="C369" s="2" t="str">
        <f>IFERROR(VLOOKUP(A369,'2026'!A$6:B$700,2,0),"Falta de reinscribir")</f>
        <v>Reinscrito</v>
      </c>
    </row>
    <row r="370" spans="1:3">
      <c r="A370" s="28">
        <v>7331</v>
      </c>
      <c r="B370" s="29" t="s">
        <v>16</v>
      </c>
      <c r="C370" s="2" t="str">
        <f>IFERROR(VLOOKUP(A370,'2026'!A$6:B$700,2,0),"Falta de reinscribir")</f>
        <v>Reinscrito</v>
      </c>
    </row>
    <row r="371" spans="1:3">
      <c r="A371" s="28">
        <v>10276</v>
      </c>
      <c r="B371" s="29" t="s">
        <v>6</v>
      </c>
      <c r="C371" s="2" t="str">
        <f>IFERROR(VLOOKUP(A371,'2026'!A$6:B$700,2,0),"Falta de reinscribir")</f>
        <v>Reinscrito</v>
      </c>
    </row>
    <row r="372" spans="1:3">
      <c r="A372" s="28">
        <v>10349</v>
      </c>
      <c r="B372" s="29" t="s">
        <v>6</v>
      </c>
      <c r="C372" s="2" t="str">
        <f>IFERROR(VLOOKUP(A372,'2026'!A$6:B$700,2,0),"Falta de reinscribir")</f>
        <v>Reinscrito</v>
      </c>
    </row>
    <row r="373" spans="1:3">
      <c r="A373" s="28">
        <v>10526</v>
      </c>
      <c r="B373" s="29" t="s">
        <v>8</v>
      </c>
      <c r="C373" s="2" t="str">
        <f>IFERROR(VLOOKUP(A373,'2026'!A$6:B$700,2,0),"Falta de reinscribir")</f>
        <v>Pendiente</v>
      </c>
    </row>
    <row r="374" spans="1:3">
      <c r="A374" s="28">
        <v>10637</v>
      </c>
      <c r="B374" s="29" t="s">
        <v>6</v>
      </c>
      <c r="C374" s="2" t="str">
        <f>IFERROR(VLOOKUP(A374,'2026'!A$6:B$700,2,0),"Falta de reinscribir")</f>
        <v>Reinscrito</v>
      </c>
    </row>
    <row r="375" spans="1:3">
      <c r="A375" s="28">
        <v>10666</v>
      </c>
      <c r="B375" s="29" t="s">
        <v>12</v>
      </c>
      <c r="C375" s="2" t="str">
        <f>IFERROR(VLOOKUP(A375,'2026'!A$6:B$700,2,0),"Falta de reinscribir")</f>
        <v>Pendiente</v>
      </c>
    </row>
    <row r="376" spans="1:3">
      <c r="A376" s="28">
        <v>10850</v>
      </c>
      <c r="B376" s="29" t="s">
        <v>11</v>
      </c>
      <c r="C376" s="2" t="str">
        <f>IFERROR(VLOOKUP(A376,'2026'!A$6:B$700,2,0),"Falta de reinscribir")</f>
        <v>Reinscrito</v>
      </c>
    </row>
    <row r="377" spans="1:3">
      <c r="A377" s="28">
        <v>10852</v>
      </c>
      <c r="B377" s="29" t="s">
        <v>10</v>
      </c>
      <c r="C377" s="2" t="str">
        <f>IFERROR(VLOOKUP(A377,'2026'!A$6:B$700,2,0),"Falta de reinscribir")</f>
        <v>Pendiente</v>
      </c>
    </row>
    <row r="378" spans="1:3">
      <c r="A378" s="28">
        <v>15137</v>
      </c>
      <c r="B378" s="29" t="s">
        <v>1</v>
      </c>
      <c r="C378" s="2" t="str">
        <f>IFERROR(VLOOKUP(A378,'2026'!A$6:B$700,2,0),"Falta de reinscribir")</f>
        <v>Pendiente</v>
      </c>
    </row>
    <row r="379" spans="1:3">
      <c r="A379" s="28">
        <v>15599</v>
      </c>
      <c r="B379" s="29" t="s">
        <v>3</v>
      </c>
      <c r="C379" s="2" t="str">
        <f>IFERROR(VLOOKUP(A379,'2026'!A$6:B$700,2,0),"Falta de reinscribir")</f>
        <v>Reinscrito</v>
      </c>
    </row>
    <row r="380" spans="1:3">
      <c r="A380" s="28">
        <v>16655</v>
      </c>
      <c r="B380" s="29" t="s">
        <v>17</v>
      </c>
      <c r="C380" s="2" t="str">
        <f>IFERROR(VLOOKUP(A380,'2026'!A$6:B$700,2,0),"Falta de reinscribir")</f>
        <v>Reinscrito</v>
      </c>
    </row>
    <row r="381" spans="1:3">
      <c r="A381" s="18"/>
      <c r="B381" s="19"/>
      <c r="C381" s="2" t="str">
        <f>IFERROR(VLOOKUP(A381,'2026'!A$6:B$700,2,0),"Falta de reinscribir")</f>
        <v>Falta de reinscribir</v>
      </c>
    </row>
    <row r="382" spans="1:3">
      <c r="A382" s="18"/>
      <c r="B382" s="19"/>
      <c r="C382" s="2" t="str">
        <f>IFERROR(VLOOKUP(A382,'2026'!A$6:B$700,2,0),"Falta de reinscribir")</f>
        <v>Falta de reinscribir</v>
      </c>
    </row>
    <row r="383" spans="1:3">
      <c r="A383" s="18"/>
      <c r="B383" s="19"/>
      <c r="C383" s="2" t="str">
        <f>IFERROR(VLOOKUP(A383,'2026'!A$6:B$700,2,0),"Falta de reinscribir")</f>
        <v>Falta de reinscribir</v>
      </c>
    </row>
    <row r="384" spans="1:3">
      <c r="A384" s="18"/>
      <c r="B384" s="19"/>
      <c r="C384" s="2" t="str">
        <f>IFERROR(VLOOKUP(A384,'2026'!A$6:B$700,2,0),"Falta de reinscribir")</f>
        <v>Falta de reinscribir</v>
      </c>
    </row>
    <row r="385" spans="1:3">
      <c r="A385" s="18"/>
      <c r="B385" s="19"/>
      <c r="C385" s="2" t="str">
        <f>IFERROR(VLOOKUP(A385,'2026'!A$6:B$700,2,0),"Falta de reinscribir")</f>
        <v>Falta de reinscribir</v>
      </c>
    </row>
    <row r="386" spans="1:3">
      <c r="A386" s="18"/>
      <c r="B386" s="19"/>
      <c r="C386" s="2" t="str">
        <f>IFERROR(VLOOKUP(A386,'2026'!A$6:B$700,2,0),"Falta de reinscribir")</f>
        <v>Falta de reinscribir</v>
      </c>
    </row>
    <row r="387" spans="1:3">
      <c r="A387" s="16"/>
      <c r="B387" s="17"/>
    </row>
    <row r="388" spans="1:3">
      <c r="A388" s="12"/>
      <c r="B388" s="13"/>
    </row>
    <row r="389" spans="1:3">
      <c r="A389" s="10"/>
      <c r="B389" s="11"/>
    </row>
    <row r="390" spans="1:3">
      <c r="A390" s="10"/>
      <c r="B390" s="11"/>
    </row>
    <row r="391" spans="1:3">
      <c r="A391" s="10"/>
      <c r="B391" s="11"/>
    </row>
    <row r="392" spans="1:3">
      <c r="A392" s="10"/>
      <c r="B392" s="11"/>
    </row>
    <row r="393" spans="1:3">
      <c r="A393" s="10"/>
      <c r="B393" s="11"/>
    </row>
    <row r="394" spans="1:3">
      <c r="A394" s="10"/>
      <c r="B394" s="11"/>
    </row>
    <row r="395" spans="1:3">
      <c r="A395" s="10"/>
      <c r="B395" s="11"/>
    </row>
    <row r="396" spans="1:3">
      <c r="A396" s="10"/>
      <c r="B396" s="11"/>
    </row>
    <row r="397" spans="1:3">
      <c r="A397" s="10"/>
      <c r="B397" s="11"/>
    </row>
    <row r="398" spans="1:3">
      <c r="A398" s="10"/>
      <c r="B398" s="11"/>
    </row>
    <row r="399" spans="1:3">
      <c r="A399" s="10"/>
      <c r="B399" s="11"/>
    </row>
    <row r="400" spans="1:3">
      <c r="A400" s="10"/>
      <c r="B400" s="11"/>
    </row>
    <row r="401" spans="1:2">
      <c r="A401" s="10"/>
      <c r="B401" s="11"/>
    </row>
    <row r="402" spans="1:2">
      <c r="A402" s="10"/>
      <c r="B402" s="11"/>
    </row>
    <row r="403" spans="1:2">
      <c r="A403" s="10"/>
      <c r="B403" s="11"/>
    </row>
    <row r="404" spans="1:2">
      <c r="A404" s="10"/>
      <c r="B404" s="11"/>
    </row>
    <row r="405" spans="1:2">
      <c r="A405" s="10"/>
      <c r="B405" s="11"/>
    </row>
    <row r="406" spans="1:2">
      <c r="A406" s="10"/>
      <c r="B406" s="11"/>
    </row>
    <row r="407" spans="1:2">
      <c r="A407" s="10"/>
      <c r="B407" s="11"/>
    </row>
    <row r="408" spans="1:2">
      <c r="A408" s="10"/>
      <c r="B408" s="11"/>
    </row>
    <row r="409" spans="1:2">
      <c r="A409" s="10"/>
      <c r="B409" s="11"/>
    </row>
    <row r="410" spans="1:2">
      <c r="A410" s="10"/>
      <c r="B410" s="11"/>
    </row>
    <row r="411" spans="1:2">
      <c r="A411" s="10"/>
      <c r="B411" s="11"/>
    </row>
    <row r="412" spans="1:2">
      <c r="A412" s="10"/>
      <c r="B412" s="11"/>
    </row>
    <row r="413" spans="1:2">
      <c r="A413" s="10"/>
      <c r="B413" s="11"/>
    </row>
    <row r="414" spans="1:2">
      <c r="A414" s="10"/>
      <c r="B414" s="11"/>
    </row>
    <row r="415" spans="1:2">
      <c r="A415" s="10"/>
      <c r="B415" s="11"/>
    </row>
    <row r="416" spans="1:2">
      <c r="A416" s="10"/>
      <c r="B416" s="11"/>
    </row>
    <row r="417" spans="1:2">
      <c r="A417" s="10"/>
      <c r="B417" s="11"/>
    </row>
    <row r="418" spans="1:2">
      <c r="A418" s="10"/>
      <c r="B418" s="11"/>
    </row>
    <row r="419" spans="1:2">
      <c r="A419" s="10"/>
      <c r="B419" s="11"/>
    </row>
    <row r="420" spans="1:2">
      <c r="A420" s="10"/>
      <c r="B420" s="11"/>
    </row>
    <row r="421" spans="1:2">
      <c r="A421" s="10"/>
      <c r="B421" s="11"/>
    </row>
    <row r="422" spans="1:2">
      <c r="A422" s="10"/>
      <c r="B422" s="11"/>
    </row>
    <row r="423" spans="1:2">
      <c r="A423" s="10"/>
      <c r="B423" s="11"/>
    </row>
    <row r="424" spans="1:2">
      <c r="A424" s="10"/>
      <c r="B424" s="11"/>
    </row>
    <row r="425" spans="1:2">
      <c r="A425" s="10"/>
      <c r="B425" s="11"/>
    </row>
    <row r="426" spans="1:2">
      <c r="A426" s="10"/>
      <c r="B426" s="11"/>
    </row>
    <row r="427" spans="1:2">
      <c r="A427" s="10"/>
      <c r="B427" s="11"/>
    </row>
    <row r="428" spans="1:2">
      <c r="A428" s="10"/>
      <c r="B428" s="11"/>
    </row>
    <row r="429" spans="1:2">
      <c r="A429" s="10"/>
      <c r="B429" s="11"/>
    </row>
    <row r="430" spans="1:2">
      <c r="A430" s="10"/>
      <c r="B430" s="11"/>
    </row>
    <row r="431" spans="1:2">
      <c r="A431" s="10"/>
      <c r="B431" s="11"/>
    </row>
    <row r="432" spans="1:2">
      <c r="A432" s="10"/>
      <c r="B432" s="11"/>
    </row>
    <row r="433" spans="1:2">
      <c r="A433" s="10"/>
      <c r="B433" s="11"/>
    </row>
    <row r="434" spans="1:2">
      <c r="A434" s="10"/>
      <c r="B434" s="11"/>
    </row>
    <row r="435" spans="1:2">
      <c r="A435" s="10"/>
      <c r="B435" s="11"/>
    </row>
    <row r="436" spans="1:2">
      <c r="A436" s="10"/>
      <c r="B436" s="11"/>
    </row>
    <row r="437" spans="1:2">
      <c r="A437" s="10"/>
      <c r="B437" s="11"/>
    </row>
    <row r="438" spans="1:2">
      <c r="A438" s="10"/>
      <c r="B438" s="11"/>
    </row>
  </sheetData>
  <autoFilter ref="A5:C43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F579-470D-4951-9719-DDBB9E0F324F}">
  <dimension ref="A1:E427"/>
  <sheetViews>
    <sheetView tabSelected="1" topLeftCell="A52" workbookViewId="0">
      <selection activeCell="I8" sqref="I8"/>
    </sheetView>
  </sheetViews>
  <sheetFormatPr baseColWidth="10" defaultRowHeight="14.4"/>
  <cols>
    <col min="1" max="1" width="9.109375" style="2" customWidth="1"/>
    <col min="2" max="2" width="10.109375" style="2" customWidth="1"/>
  </cols>
  <sheetData>
    <row r="1" spans="1:5">
      <c r="A1" s="20" t="s">
        <v>19</v>
      </c>
      <c r="B1" s="20"/>
      <c r="C1" s="20"/>
      <c r="D1" s="20"/>
      <c r="E1" s="21" t="s">
        <v>34</v>
      </c>
    </row>
    <row r="2" spans="1:5">
      <c r="A2" s="20" t="s">
        <v>20</v>
      </c>
      <c r="B2" s="20"/>
      <c r="C2" s="20"/>
      <c r="D2" s="20"/>
      <c r="E2" s="21"/>
    </row>
    <row r="3" spans="1:5">
      <c r="A3" s="20" t="s">
        <v>21</v>
      </c>
      <c r="B3" s="20"/>
      <c r="C3" s="20"/>
      <c r="D3" s="20"/>
      <c r="E3" s="21" t="s">
        <v>35</v>
      </c>
    </row>
    <row r="4" spans="1:5">
      <c r="A4" s="20"/>
      <c r="B4" s="20"/>
      <c r="C4" s="20"/>
      <c r="D4" s="20"/>
      <c r="E4" s="20"/>
    </row>
    <row r="5" spans="1:5">
      <c r="A5" s="22" t="s">
        <v>22</v>
      </c>
      <c r="B5" s="22" t="s">
        <v>25</v>
      </c>
      <c r="C5" s="22" t="s">
        <v>36</v>
      </c>
      <c r="D5" s="22" t="s">
        <v>37</v>
      </c>
      <c r="E5" s="22" t="s">
        <v>38</v>
      </c>
    </row>
    <row r="6" spans="1:5">
      <c r="A6" s="23">
        <v>1936</v>
      </c>
      <c r="B6" s="24" t="s">
        <v>26</v>
      </c>
      <c r="C6" s="24" t="s">
        <v>39</v>
      </c>
      <c r="D6" s="24" t="s">
        <v>40</v>
      </c>
      <c r="E6" s="24" t="s">
        <v>41</v>
      </c>
    </row>
    <row r="7" spans="1:5">
      <c r="A7" s="23">
        <v>1963</v>
      </c>
      <c r="B7" s="24" t="s">
        <v>26</v>
      </c>
      <c r="C7" s="24" t="s">
        <v>39</v>
      </c>
      <c r="D7" s="24" t="s">
        <v>42</v>
      </c>
      <c r="E7" s="24" t="s">
        <v>41</v>
      </c>
    </row>
    <row r="8" spans="1:5">
      <c r="A8" s="23">
        <v>1964</v>
      </c>
      <c r="B8" s="24" t="s">
        <v>26</v>
      </c>
      <c r="C8" s="24" t="s">
        <v>39</v>
      </c>
      <c r="D8" s="24" t="s">
        <v>43</v>
      </c>
      <c r="E8" s="24" t="s">
        <v>41</v>
      </c>
    </row>
    <row r="9" spans="1:5">
      <c r="A9" s="23">
        <v>1966</v>
      </c>
      <c r="B9" s="24" t="s">
        <v>26</v>
      </c>
      <c r="C9" s="24" t="s">
        <v>39</v>
      </c>
      <c r="D9" s="24" t="s">
        <v>44</v>
      </c>
      <c r="E9" s="24" t="s">
        <v>41</v>
      </c>
    </row>
    <row r="10" spans="1:5">
      <c r="A10" s="23">
        <v>2011</v>
      </c>
      <c r="B10" s="24" t="s">
        <v>26</v>
      </c>
      <c r="C10" s="24" t="s">
        <v>45</v>
      </c>
      <c r="D10" s="24" t="s">
        <v>46</v>
      </c>
      <c r="E10" s="24" t="s">
        <v>41</v>
      </c>
    </row>
    <row r="11" spans="1:5">
      <c r="A11" s="23">
        <v>2015</v>
      </c>
      <c r="B11" s="24" t="s">
        <v>47</v>
      </c>
      <c r="C11" s="24" t="s">
        <v>39</v>
      </c>
      <c r="D11" s="24" t="s">
        <v>48</v>
      </c>
      <c r="E11" s="24" t="s">
        <v>21</v>
      </c>
    </row>
    <row r="12" spans="1:5">
      <c r="A12" s="23">
        <v>2019</v>
      </c>
      <c r="B12" s="24" t="s">
        <v>26</v>
      </c>
      <c r="C12" s="24" t="s">
        <v>45</v>
      </c>
      <c r="D12" s="24" t="s">
        <v>49</v>
      </c>
      <c r="E12" s="24" t="s">
        <v>21</v>
      </c>
    </row>
    <row r="13" spans="1:5">
      <c r="A13" s="23">
        <v>2020</v>
      </c>
      <c r="B13" s="24" t="s">
        <v>26</v>
      </c>
      <c r="C13" s="24" t="s">
        <v>39</v>
      </c>
      <c r="D13" s="24" t="s">
        <v>50</v>
      </c>
      <c r="E13" s="24" t="s">
        <v>41</v>
      </c>
    </row>
    <row r="14" spans="1:5">
      <c r="A14" s="23">
        <v>2021</v>
      </c>
      <c r="B14" s="24" t="s">
        <v>26</v>
      </c>
      <c r="C14" s="24" t="s">
        <v>39</v>
      </c>
      <c r="D14" s="24" t="s">
        <v>51</v>
      </c>
      <c r="E14" s="24" t="s">
        <v>41</v>
      </c>
    </row>
    <row r="15" spans="1:5">
      <c r="A15" s="23">
        <v>2023</v>
      </c>
      <c r="B15" s="24" t="s">
        <v>26</v>
      </c>
      <c r="C15" s="24" t="s">
        <v>45</v>
      </c>
      <c r="D15" s="24" t="s">
        <v>52</v>
      </c>
      <c r="E15" s="24" t="s">
        <v>41</v>
      </c>
    </row>
    <row r="16" spans="1:5">
      <c r="A16" s="23">
        <v>2024</v>
      </c>
      <c r="B16" s="24" t="s">
        <v>26</v>
      </c>
      <c r="C16" s="24" t="s">
        <v>45</v>
      </c>
      <c r="D16" s="24" t="s">
        <v>53</v>
      </c>
      <c r="E16" s="24" t="s">
        <v>21</v>
      </c>
    </row>
    <row r="17" spans="1:5">
      <c r="A17" s="23">
        <v>2030</v>
      </c>
      <c r="B17" s="24" t="s">
        <v>26</v>
      </c>
      <c r="C17" s="24" t="s">
        <v>45</v>
      </c>
      <c r="D17" s="24" t="s">
        <v>54</v>
      </c>
      <c r="E17" s="24" t="s">
        <v>41</v>
      </c>
    </row>
    <row r="18" spans="1:5">
      <c r="A18" s="23">
        <v>2035</v>
      </c>
      <c r="B18" s="24" t="s">
        <v>26</v>
      </c>
      <c r="C18" s="24" t="s">
        <v>45</v>
      </c>
      <c r="D18" s="24" t="s">
        <v>55</v>
      </c>
      <c r="E18" s="24" t="s">
        <v>41</v>
      </c>
    </row>
    <row r="19" spans="1:5">
      <c r="A19" s="23">
        <v>2037</v>
      </c>
      <c r="B19" s="24" t="s">
        <v>47</v>
      </c>
      <c r="C19" s="24" t="s">
        <v>39</v>
      </c>
      <c r="D19" s="24" t="s">
        <v>48</v>
      </c>
      <c r="E19" s="24" t="s">
        <v>21</v>
      </c>
    </row>
    <row r="20" spans="1:5">
      <c r="A20" s="23">
        <v>2038</v>
      </c>
      <c r="B20" s="24" t="s">
        <v>47</v>
      </c>
      <c r="C20" s="24" t="s">
        <v>45</v>
      </c>
      <c r="D20" s="24" t="s">
        <v>48</v>
      </c>
      <c r="E20" s="24" t="s">
        <v>21</v>
      </c>
    </row>
    <row r="21" spans="1:5">
      <c r="A21" s="23">
        <v>2040</v>
      </c>
      <c r="B21" s="24" t="s">
        <v>26</v>
      </c>
      <c r="C21" s="24" t="s">
        <v>45</v>
      </c>
      <c r="D21" s="24" t="s">
        <v>56</v>
      </c>
      <c r="E21" s="24" t="s">
        <v>41</v>
      </c>
    </row>
    <row r="22" spans="1:5">
      <c r="A22" s="23">
        <v>2044</v>
      </c>
      <c r="B22" s="24" t="s">
        <v>26</v>
      </c>
      <c r="C22" s="24" t="s">
        <v>39</v>
      </c>
      <c r="D22" s="24" t="s">
        <v>57</v>
      </c>
      <c r="E22" s="24" t="s">
        <v>41</v>
      </c>
    </row>
    <row r="23" spans="1:5">
      <c r="A23" s="23">
        <v>2046</v>
      </c>
      <c r="B23" s="24" t="s">
        <v>26</v>
      </c>
      <c r="C23" s="24" t="s">
        <v>45</v>
      </c>
      <c r="D23" s="24" t="s">
        <v>58</v>
      </c>
      <c r="E23" s="24" t="s">
        <v>41</v>
      </c>
    </row>
    <row r="24" spans="1:5">
      <c r="A24" s="23">
        <v>2061</v>
      </c>
      <c r="B24" s="24" t="s">
        <v>26</v>
      </c>
      <c r="C24" s="24" t="s">
        <v>45</v>
      </c>
      <c r="D24" s="24" t="s">
        <v>59</v>
      </c>
      <c r="E24" s="24" t="s">
        <v>41</v>
      </c>
    </row>
    <row r="25" spans="1:5">
      <c r="A25" s="23">
        <v>2068</v>
      </c>
      <c r="B25" s="24" t="s">
        <v>47</v>
      </c>
      <c r="C25" s="24" t="s">
        <v>39</v>
      </c>
      <c r="D25" s="24" t="s">
        <v>48</v>
      </c>
      <c r="E25" s="24" t="s">
        <v>21</v>
      </c>
    </row>
    <row r="26" spans="1:5">
      <c r="A26" s="23">
        <v>2078</v>
      </c>
      <c r="B26" s="24" t="s">
        <v>26</v>
      </c>
      <c r="C26" s="24" t="s">
        <v>45</v>
      </c>
      <c r="D26" s="24" t="s">
        <v>60</v>
      </c>
      <c r="E26" s="24" t="s">
        <v>41</v>
      </c>
    </row>
    <row r="27" spans="1:5">
      <c r="A27" s="23">
        <v>2080</v>
      </c>
      <c r="B27" s="24" t="s">
        <v>47</v>
      </c>
      <c r="C27" s="24" t="s">
        <v>39</v>
      </c>
      <c r="D27" s="24" t="s">
        <v>48</v>
      </c>
      <c r="E27" s="24" t="s">
        <v>21</v>
      </c>
    </row>
    <row r="28" spans="1:5">
      <c r="A28" s="23">
        <v>2082</v>
      </c>
      <c r="B28" s="24" t="s">
        <v>47</v>
      </c>
      <c r="C28" s="24" t="s">
        <v>45</v>
      </c>
      <c r="D28" s="24" t="s">
        <v>48</v>
      </c>
      <c r="E28" s="24" t="s">
        <v>21</v>
      </c>
    </row>
    <row r="29" spans="1:5">
      <c r="A29" s="23">
        <v>2083</v>
      </c>
      <c r="B29" s="24" t="s">
        <v>26</v>
      </c>
      <c r="C29" s="24" t="s">
        <v>61</v>
      </c>
      <c r="D29" s="24" t="s">
        <v>62</v>
      </c>
      <c r="E29" s="24" t="s">
        <v>41</v>
      </c>
    </row>
    <row r="30" spans="1:5">
      <c r="A30" s="23">
        <v>2084</v>
      </c>
      <c r="B30" s="24" t="s">
        <v>26</v>
      </c>
      <c r="C30" s="24" t="s">
        <v>45</v>
      </c>
      <c r="D30" s="24" t="s">
        <v>50</v>
      </c>
      <c r="E30" s="24" t="s">
        <v>41</v>
      </c>
    </row>
    <row r="31" spans="1:5">
      <c r="A31" s="23">
        <v>2087</v>
      </c>
      <c r="B31" s="24" t="s">
        <v>26</v>
      </c>
      <c r="C31" s="24" t="s">
        <v>61</v>
      </c>
      <c r="D31" s="24" t="s">
        <v>42</v>
      </c>
      <c r="E31" s="24" t="s">
        <v>41</v>
      </c>
    </row>
    <row r="32" spans="1:5">
      <c r="A32" s="23">
        <v>2088</v>
      </c>
      <c r="B32" s="24" t="s">
        <v>26</v>
      </c>
      <c r="C32" s="24" t="s">
        <v>45</v>
      </c>
      <c r="D32" s="24" t="s">
        <v>63</v>
      </c>
      <c r="E32" s="24" t="s">
        <v>41</v>
      </c>
    </row>
    <row r="33" spans="1:5">
      <c r="A33" s="23">
        <v>2092</v>
      </c>
      <c r="B33" s="24" t="s">
        <v>26</v>
      </c>
      <c r="C33" s="24" t="s">
        <v>61</v>
      </c>
      <c r="D33" s="24" t="s">
        <v>52</v>
      </c>
      <c r="E33" s="24" t="s">
        <v>41</v>
      </c>
    </row>
    <row r="34" spans="1:5">
      <c r="A34" s="23">
        <v>2093</v>
      </c>
      <c r="B34" s="24" t="s">
        <v>26</v>
      </c>
      <c r="C34" s="24" t="s">
        <v>45</v>
      </c>
      <c r="D34" s="24" t="s">
        <v>57</v>
      </c>
      <c r="E34" s="24" t="s">
        <v>41</v>
      </c>
    </row>
    <row r="35" spans="1:5">
      <c r="A35" s="23">
        <v>2095</v>
      </c>
      <c r="B35" s="24" t="s">
        <v>26</v>
      </c>
      <c r="C35" s="24" t="s">
        <v>61</v>
      </c>
      <c r="D35" s="24" t="s">
        <v>52</v>
      </c>
      <c r="E35" s="24" t="s">
        <v>41</v>
      </c>
    </row>
    <row r="36" spans="1:5">
      <c r="A36" s="23">
        <v>2097</v>
      </c>
      <c r="B36" s="24" t="s">
        <v>26</v>
      </c>
      <c r="C36" s="24" t="s">
        <v>45</v>
      </c>
      <c r="D36" s="24" t="s">
        <v>50</v>
      </c>
      <c r="E36" s="24" t="s">
        <v>41</v>
      </c>
    </row>
    <row r="37" spans="1:5">
      <c r="A37" s="23">
        <v>2098</v>
      </c>
      <c r="B37" s="24" t="s">
        <v>26</v>
      </c>
      <c r="C37" s="24" t="s">
        <v>45</v>
      </c>
      <c r="D37" s="24" t="s">
        <v>50</v>
      </c>
      <c r="E37" s="24" t="s">
        <v>41</v>
      </c>
    </row>
    <row r="38" spans="1:5">
      <c r="A38" s="23">
        <v>2100</v>
      </c>
      <c r="B38" s="24" t="s">
        <v>26</v>
      </c>
      <c r="C38" s="24" t="s">
        <v>45</v>
      </c>
      <c r="D38" s="24" t="s">
        <v>64</v>
      </c>
      <c r="E38" s="24" t="s">
        <v>41</v>
      </c>
    </row>
    <row r="39" spans="1:5">
      <c r="A39" s="23">
        <v>2104</v>
      </c>
      <c r="B39" s="24" t="s">
        <v>26</v>
      </c>
      <c r="C39" s="24" t="s">
        <v>45</v>
      </c>
      <c r="D39" s="24" t="s">
        <v>65</v>
      </c>
      <c r="E39" s="24" t="s">
        <v>41</v>
      </c>
    </row>
    <row r="40" spans="1:5">
      <c r="A40" s="23">
        <v>2105</v>
      </c>
      <c r="B40" s="24" t="s">
        <v>26</v>
      </c>
      <c r="C40" s="24" t="s">
        <v>45</v>
      </c>
      <c r="D40" s="24" t="s">
        <v>66</v>
      </c>
      <c r="E40" s="24" t="s">
        <v>21</v>
      </c>
    </row>
    <row r="41" spans="1:5">
      <c r="A41" s="23">
        <v>2106</v>
      </c>
      <c r="B41" s="24" t="s">
        <v>26</v>
      </c>
      <c r="C41" s="24" t="s">
        <v>45</v>
      </c>
      <c r="D41" s="24" t="s">
        <v>66</v>
      </c>
      <c r="E41" s="24" t="s">
        <v>21</v>
      </c>
    </row>
    <row r="42" spans="1:5">
      <c r="A42" s="23">
        <v>2107</v>
      </c>
      <c r="B42" s="24" t="s">
        <v>26</v>
      </c>
      <c r="C42" s="24" t="s">
        <v>45</v>
      </c>
      <c r="D42" s="24" t="s">
        <v>55</v>
      </c>
      <c r="E42" s="24" t="s">
        <v>41</v>
      </c>
    </row>
    <row r="43" spans="1:5">
      <c r="A43" s="23">
        <v>2110</v>
      </c>
      <c r="B43" s="24" t="s">
        <v>26</v>
      </c>
      <c r="C43" s="24" t="s">
        <v>61</v>
      </c>
      <c r="D43" s="24" t="s">
        <v>67</v>
      </c>
      <c r="E43" s="24" t="s">
        <v>41</v>
      </c>
    </row>
    <row r="44" spans="1:5">
      <c r="A44" s="23">
        <v>2111</v>
      </c>
      <c r="B44" s="24" t="s">
        <v>26</v>
      </c>
      <c r="C44" s="24" t="s">
        <v>61</v>
      </c>
      <c r="D44" s="24" t="s">
        <v>42</v>
      </c>
      <c r="E44" s="24" t="s">
        <v>41</v>
      </c>
    </row>
    <row r="45" spans="1:5">
      <c r="A45" s="23">
        <v>2112</v>
      </c>
      <c r="B45" s="24" t="s">
        <v>26</v>
      </c>
      <c r="C45" s="24" t="s">
        <v>39</v>
      </c>
      <c r="D45" s="24" t="s">
        <v>68</v>
      </c>
      <c r="E45" s="24" t="s">
        <v>41</v>
      </c>
    </row>
    <row r="46" spans="1:5">
      <c r="A46" s="23">
        <v>2115</v>
      </c>
      <c r="B46" s="24" t="s">
        <v>47</v>
      </c>
      <c r="C46" s="24" t="s">
        <v>45</v>
      </c>
      <c r="D46" s="24" t="s">
        <v>48</v>
      </c>
      <c r="E46" s="24" t="s">
        <v>21</v>
      </c>
    </row>
    <row r="47" spans="1:5">
      <c r="A47" s="23">
        <v>2119</v>
      </c>
      <c r="B47" s="24" t="s">
        <v>26</v>
      </c>
      <c r="C47" s="24" t="s">
        <v>45</v>
      </c>
      <c r="D47" s="24" t="s">
        <v>69</v>
      </c>
      <c r="E47" s="24" t="s">
        <v>41</v>
      </c>
    </row>
    <row r="48" spans="1:5">
      <c r="A48" s="23">
        <v>2121</v>
      </c>
      <c r="B48" s="24" t="s">
        <v>47</v>
      </c>
      <c r="C48" s="24" t="s">
        <v>61</v>
      </c>
      <c r="D48" s="24" t="s">
        <v>48</v>
      </c>
      <c r="E48" s="24" t="s">
        <v>21</v>
      </c>
    </row>
    <row r="49" spans="1:5">
      <c r="A49" s="23">
        <v>2129</v>
      </c>
      <c r="B49" s="24" t="s">
        <v>26</v>
      </c>
      <c r="C49" s="24" t="s">
        <v>45</v>
      </c>
      <c r="D49" s="24" t="s">
        <v>58</v>
      </c>
      <c r="E49" s="24" t="s">
        <v>41</v>
      </c>
    </row>
    <row r="50" spans="1:5">
      <c r="A50" s="23">
        <v>2130</v>
      </c>
      <c r="B50" s="24" t="s">
        <v>70</v>
      </c>
      <c r="C50" s="24" t="s">
        <v>45</v>
      </c>
      <c r="D50" s="24" t="s">
        <v>71</v>
      </c>
      <c r="E50" s="24" t="s">
        <v>72</v>
      </c>
    </row>
    <row r="51" spans="1:5">
      <c r="A51" s="23">
        <v>2135</v>
      </c>
      <c r="B51" s="24" t="s">
        <v>26</v>
      </c>
      <c r="C51" s="24" t="s">
        <v>61</v>
      </c>
      <c r="D51" s="24" t="s">
        <v>67</v>
      </c>
      <c r="E51" s="24" t="s">
        <v>41</v>
      </c>
    </row>
    <row r="52" spans="1:5">
      <c r="A52" s="23">
        <v>2140</v>
      </c>
      <c r="B52" s="24" t="s">
        <v>26</v>
      </c>
      <c r="C52" s="24" t="s">
        <v>45</v>
      </c>
      <c r="D52" s="24" t="s">
        <v>56</v>
      </c>
      <c r="E52" s="24" t="s">
        <v>41</v>
      </c>
    </row>
    <row r="53" spans="1:5">
      <c r="A53" s="23">
        <v>2146</v>
      </c>
      <c r="B53" s="24" t="s">
        <v>26</v>
      </c>
      <c r="C53" s="24" t="s">
        <v>61</v>
      </c>
      <c r="D53" s="24" t="s">
        <v>58</v>
      </c>
      <c r="E53" s="24" t="s">
        <v>41</v>
      </c>
    </row>
    <row r="54" spans="1:5">
      <c r="A54" s="23">
        <v>2155</v>
      </c>
      <c r="B54" s="24" t="s">
        <v>26</v>
      </c>
      <c r="C54" s="24" t="s">
        <v>39</v>
      </c>
      <c r="D54" s="24" t="s">
        <v>73</v>
      </c>
      <c r="E54" s="24" t="s">
        <v>21</v>
      </c>
    </row>
    <row r="55" spans="1:5">
      <c r="A55" s="23">
        <v>2156</v>
      </c>
      <c r="B55" s="24" t="s">
        <v>26</v>
      </c>
      <c r="C55" s="24" t="s">
        <v>39</v>
      </c>
      <c r="D55" s="24" t="s">
        <v>73</v>
      </c>
      <c r="E55" s="24" t="s">
        <v>21</v>
      </c>
    </row>
    <row r="56" spans="1:5">
      <c r="A56" s="23">
        <v>2161</v>
      </c>
      <c r="B56" s="24" t="s">
        <v>26</v>
      </c>
      <c r="C56" s="24" t="s">
        <v>61</v>
      </c>
      <c r="D56" s="24" t="s">
        <v>63</v>
      </c>
      <c r="E56" s="24" t="s">
        <v>41</v>
      </c>
    </row>
    <row r="57" spans="1:5">
      <c r="A57" s="23">
        <v>2162</v>
      </c>
      <c r="B57" s="24" t="s">
        <v>26</v>
      </c>
      <c r="C57" s="24" t="s">
        <v>74</v>
      </c>
      <c r="D57" s="24" t="s">
        <v>56</v>
      </c>
      <c r="E57" s="24" t="s">
        <v>21</v>
      </c>
    </row>
    <row r="58" spans="1:5">
      <c r="A58" s="23">
        <v>2172</v>
      </c>
      <c r="B58" s="24" t="s">
        <v>26</v>
      </c>
      <c r="C58" s="24" t="s">
        <v>61</v>
      </c>
      <c r="D58" s="24" t="s">
        <v>75</v>
      </c>
      <c r="E58" s="24" t="s">
        <v>21</v>
      </c>
    </row>
    <row r="59" spans="1:5">
      <c r="A59" s="23">
        <v>2173</v>
      </c>
      <c r="B59" s="24" t="s">
        <v>26</v>
      </c>
      <c r="C59" s="24" t="s">
        <v>61</v>
      </c>
      <c r="D59" s="24" t="s">
        <v>76</v>
      </c>
      <c r="E59" s="24" t="s">
        <v>41</v>
      </c>
    </row>
    <row r="60" spans="1:5">
      <c r="A60" s="23">
        <v>2174</v>
      </c>
      <c r="B60" s="24" t="s">
        <v>26</v>
      </c>
      <c r="C60" s="24" t="s">
        <v>74</v>
      </c>
      <c r="D60" s="24" t="s">
        <v>77</v>
      </c>
      <c r="E60" s="24" t="s">
        <v>41</v>
      </c>
    </row>
    <row r="61" spans="1:5">
      <c r="A61" s="23">
        <v>2175</v>
      </c>
      <c r="B61" s="24" t="s">
        <v>26</v>
      </c>
      <c r="C61" s="24" t="s">
        <v>39</v>
      </c>
      <c r="D61" s="24" t="s">
        <v>57</v>
      </c>
      <c r="E61" s="24" t="s">
        <v>41</v>
      </c>
    </row>
    <row r="62" spans="1:5">
      <c r="A62" s="23">
        <v>2176</v>
      </c>
      <c r="B62" s="24" t="s">
        <v>47</v>
      </c>
      <c r="C62" s="24" t="s">
        <v>74</v>
      </c>
      <c r="D62" s="24" t="s">
        <v>48</v>
      </c>
      <c r="E62" s="24" t="s">
        <v>21</v>
      </c>
    </row>
    <row r="63" spans="1:5">
      <c r="A63" s="23">
        <v>2181</v>
      </c>
      <c r="B63" s="24" t="s">
        <v>26</v>
      </c>
      <c r="C63" s="24" t="s">
        <v>74</v>
      </c>
      <c r="D63" s="24" t="s">
        <v>78</v>
      </c>
      <c r="E63" s="24" t="s">
        <v>41</v>
      </c>
    </row>
    <row r="64" spans="1:5">
      <c r="A64" s="23">
        <v>2182</v>
      </c>
      <c r="B64" s="24" t="s">
        <v>26</v>
      </c>
      <c r="C64" s="24" t="s">
        <v>61</v>
      </c>
      <c r="D64" s="24" t="s">
        <v>54</v>
      </c>
      <c r="E64" s="24" t="s">
        <v>41</v>
      </c>
    </row>
    <row r="65" spans="1:5">
      <c r="A65" s="23">
        <v>2184</v>
      </c>
      <c r="B65" s="24" t="s">
        <v>47</v>
      </c>
      <c r="C65" s="24" t="s">
        <v>74</v>
      </c>
      <c r="D65" s="24" t="s">
        <v>48</v>
      </c>
      <c r="E65" s="24" t="s">
        <v>21</v>
      </c>
    </row>
    <row r="66" spans="1:5">
      <c r="A66" s="23">
        <v>2187</v>
      </c>
      <c r="B66" s="24" t="s">
        <v>47</v>
      </c>
      <c r="C66" s="24" t="s">
        <v>39</v>
      </c>
      <c r="D66" s="24" t="s">
        <v>48</v>
      </c>
      <c r="E66" s="24" t="s">
        <v>21</v>
      </c>
    </row>
    <row r="67" spans="1:5">
      <c r="A67" s="23">
        <v>2193</v>
      </c>
      <c r="B67" s="24" t="s">
        <v>26</v>
      </c>
      <c r="C67" s="24" t="s">
        <v>39</v>
      </c>
      <c r="D67" s="24" t="s">
        <v>55</v>
      </c>
      <c r="E67" s="24" t="s">
        <v>41</v>
      </c>
    </row>
    <row r="68" spans="1:5">
      <c r="A68" s="23">
        <v>2194</v>
      </c>
      <c r="B68" s="24" t="s">
        <v>70</v>
      </c>
      <c r="C68" s="24" t="s">
        <v>74</v>
      </c>
      <c r="D68" s="24" t="s">
        <v>79</v>
      </c>
      <c r="E68" s="24" t="s">
        <v>80</v>
      </c>
    </row>
    <row r="69" spans="1:5">
      <c r="A69" s="23">
        <v>2195</v>
      </c>
      <c r="B69" s="24" t="s">
        <v>26</v>
      </c>
      <c r="C69" s="24" t="s">
        <v>61</v>
      </c>
      <c r="D69" s="24" t="s">
        <v>81</v>
      </c>
      <c r="E69" s="24" t="s">
        <v>41</v>
      </c>
    </row>
    <row r="70" spans="1:5">
      <c r="A70" s="23">
        <v>2200</v>
      </c>
      <c r="B70" s="24" t="s">
        <v>26</v>
      </c>
      <c r="C70" s="24" t="s">
        <v>74</v>
      </c>
      <c r="D70" s="24" t="s">
        <v>81</v>
      </c>
      <c r="E70" s="24" t="s">
        <v>41</v>
      </c>
    </row>
    <row r="71" spans="1:5">
      <c r="A71" s="23">
        <v>2202</v>
      </c>
      <c r="B71" s="24" t="s">
        <v>26</v>
      </c>
      <c r="C71" s="24" t="s">
        <v>39</v>
      </c>
      <c r="D71" s="24" t="s">
        <v>56</v>
      </c>
      <c r="E71" s="24" t="s">
        <v>21</v>
      </c>
    </row>
    <row r="72" spans="1:5">
      <c r="A72" s="23">
        <v>2209</v>
      </c>
      <c r="B72" s="24" t="s">
        <v>26</v>
      </c>
      <c r="C72" s="24" t="s">
        <v>74</v>
      </c>
      <c r="D72" s="24" t="s">
        <v>60</v>
      </c>
      <c r="E72" s="24" t="s">
        <v>41</v>
      </c>
    </row>
    <row r="73" spans="1:5">
      <c r="A73" s="23">
        <v>2219</v>
      </c>
      <c r="B73" s="24" t="s">
        <v>26</v>
      </c>
      <c r="C73" s="24" t="s">
        <v>39</v>
      </c>
      <c r="D73" s="24" t="s">
        <v>56</v>
      </c>
      <c r="E73" s="24" t="s">
        <v>41</v>
      </c>
    </row>
    <row r="74" spans="1:5">
      <c r="A74" s="23">
        <v>2220</v>
      </c>
      <c r="B74" s="24" t="s">
        <v>70</v>
      </c>
      <c r="C74" s="24" t="s">
        <v>82</v>
      </c>
      <c r="D74" s="24" t="s">
        <v>83</v>
      </c>
      <c r="E74" s="24" t="s">
        <v>84</v>
      </c>
    </row>
    <row r="75" spans="1:5">
      <c r="A75" s="23">
        <v>2222</v>
      </c>
      <c r="B75" s="24" t="s">
        <v>47</v>
      </c>
      <c r="C75" s="24" t="s">
        <v>39</v>
      </c>
      <c r="D75" s="24" t="s">
        <v>48</v>
      </c>
      <c r="E75" s="24" t="s">
        <v>21</v>
      </c>
    </row>
    <row r="76" spans="1:5">
      <c r="A76" s="23">
        <v>2227</v>
      </c>
      <c r="B76" s="24" t="s">
        <v>26</v>
      </c>
      <c r="C76" s="24" t="s">
        <v>74</v>
      </c>
      <c r="D76" s="24" t="s">
        <v>85</v>
      </c>
      <c r="E76" s="24" t="s">
        <v>41</v>
      </c>
    </row>
    <row r="77" spans="1:5">
      <c r="A77" s="23">
        <v>2231</v>
      </c>
      <c r="B77" s="24" t="s">
        <v>47</v>
      </c>
      <c r="C77" s="24" t="s">
        <v>82</v>
      </c>
      <c r="D77" s="24" t="s">
        <v>48</v>
      </c>
      <c r="E77" s="24" t="s">
        <v>21</v>
      </c>
    </row>
    <row r="78" spans="1:5">
      <c r="A78" s="23">
        <v>2235</v>
      </c>
      <c r="B78" s="24" t="s">
        <v>26</v>
      </c>
      <c r="C78" s="24" t="s">
        <v>39</v>
      </c>
      <c r="D78" s="24" t="s">
        <v>86</v>
      </c>
      <c r="E78" s="24" t="s">
        <v>41</v>
      </c>
    </row>
    <row r="79" spans="1:5">
      <c r="A79" s="23">
        <v>2238</v>
      </c>
      <c r="B79" s="24" t="s">
        <v>47</v>
      </c>
      <c r="C79" s="24" t="s">
        <v>61</v>
      </c>
      <c r="D79" s="24" t="s">
        <v>48</v>
      </c>
      <c r="E79" s="24" t="s">
        <v>21</v>
      </c>
    </row>
    <row r="80" spans="1:5">
      <c r="A80" s="23">
        <v>2244</v>
      </c>
      <c r="B80" s="24" t="s">
        <v>26</v>
      </c>
      <c r="C80" s="24" t="s">
        <v>82</v>
      </c>
      <c r="D80" s="24" t="s">
        <v>67</v>
      </c>
      <c r="E80" s="24" t="s">
        <v>41</v>
      </c>
    </row>
    <row r="81" spans="1:5">
      <c r="A81" s="23">
        <v>2246</v>
      </c>
      <c r="B81" s="24" t="s">
        <v>47</v>
      </c>
      <c r="C81" s="24" t="s">
        <v>74</v>
      </c>
      <c r="D81" s="24" t="s">
        <v>48</v>
      </c>
      <c r="E81" s="24" t="s">
        <v>21</v>
      </c>
    </row>
    <row r="82" spans="1:5">
      <c r="A82" s="23">
        <v>2249</v>
      </c>
      <c r="B82" s="24" t="s">
        <v>26</v>
      </c>
      <c r="C82" s="24" t="s">
        <v>74</v>
      </c>
      <c r="D82" s="24" t="s">
        <v>53</v>
      </c>
      <c r="E82" s="24" t="s">
        <v>41</v>
      </c>
    </row>
    <row r="83" spans="1:5">
      <c r="A83" s="23">
        <v>2251</v>
      </c>
      <c r="B83" s="24" t="s">
        <v>26</v>
      </c>
      <c r="C83" s="24" t="s">
        <v>82</v>
      </c>
      <c r="D83" s="24" t="s">
        <v>67</v>
      </c>
      <c r="E83" s="24" t="s">
        <v>41</v>
      </c>
    </row>
    <row r="84" spans="1:5">
      <c r="A84" s="23">
        <v>2252</v>
      </c>
      <c r="B84" s="24" t="s">
        <v>26</v>
      </c>
      <c r="C84" s="24" t="s">
        <v>82</v>
      </c>
      <c r="D84" s="24" t="s">
        <v>52</v>
      </c>
      <c r="E84" s="24" t="s">
        <v>41</v>
      </c>
    </row>
    <row r="85" spans="1:5">
      <c r="A85" s="23">
        <v>2253</v>
      </c>
      <c r="B85" s="24" t="s">
        <v>26</v>
      </c>
      <c r="C85" s="24" t="s">
        <v>74</v>
      </c>
      <c r="D85" s="24" t="s">
        <v>69</v>
      </c>
      <c r="E85" s="24" t="s">
        <v>41</v>
      </c>
    </row>
    <row r="86" spans="1:5">
      <c r="A86" s="23">
        <v>2254</v>
      </c>
      <c r="B86" s="24" t="s">
        <v>70</v>
      </c>
      <c r="C86" s="24" t="s">
        <v>74</v>
      </c>
      <c r="D86" s="24" t="s">
        <v>55</v>
      </c>
      <c r="E86" s="24" t="s">
        <v>87</v>
      </c>
    </row>
    <row r="87" spans="1:5">
      <c r="A87" s="23">
        <v>2255</v>
      </c>
      <c r="B87" s="24" t="s">
        <v>26</v>
      </c>
      <c r="C87" s="24" t="s">
        <v>74</v>
      </c>
      <c r="D87" s="24" t="s">
        <v>50</v>
      </c>
      <c r="E87" s="24" t="s">
        <v>41</v>
      </c>
    </row>
    <row r="88" spans="1:5">
      <c r="A88" s="23">
        <v>2256</v>
      </c>
      <c r="B88" s="24" t="s">
        <v>47</v>
      </c>
      <c r="C88" s="24" t="s">
        <v>74</v>
      </c>
      <c r="D88" s="24" t="s">
        <v>48</v>
      </c>
      <c r="E88" s="24" t="s">
        <v>21</v>
      </c>
    </row>
    <row r="89" spans="1:5">
      <c r="A89" s="23">
        <v>2257</v>
      </c>
      <c r="B89" s="24" t="s">
        <v>26</v>
      </c>
      <c r="C89" s="24" t="s">
        <v>82</v>
      </c>
      <c r="D89" s="24" t="s">
        <v>58</v>
      </c>
      <c r="E89" s="24" t="s">
        <v>41</v>
      </c>
    </row>
    <row r="90" spans="1:5">
      <c r="A90" s="23">
        <v>2258</v>
      </c>
      <c r="B90" s="24" t="s">
        <v>26</v>
      </c>
      <c r="C90" s="24" t="s">
        <v>82</v>
      </c>
      <c r="D90" s="24" t="s">
        <v>57</v>
      </c>
      <c r="E90" s="24" t="s">
        <v>41</v>
      </c>
    </row>
    <row r="91" spans="1:5">
      <c r="A91" s="23">
        <v>2261</v>
      </c>
      <c r="B91" s="24" t="s">
        <v>26</v>
      </c>
      <c r="C91" s="24" t="s">
        <v>82</v>
      </c>
      <c r="D91" s="24" t="s">
        <v>59</v>
      </c>
      <c r="E91" s="24" t="s">
        <v>41</v>
      </c>
    </row>
    <row r="92" spans="1:5">
      <c r="A92" s="23">
        <v>2263</v>
      </c>
      <c r="B92" s="24" t="s">
        <v>26</v>
      </c>
      <c r="C92" s="24" t="s">
        <v>61</v>
      </c>
      <c r="D92" s="24" t="s">
        <v>67</v>
      </c>
      <c r="E92" s="24" t="s">
        <v>41</v>
      </c>
    </row>
    <row r="93" spans="1:5">
      <c r="A93" s="23">
        <v>2266</v>
      </c>
      <c r="B93" s="24" t="s">
        <v>26</v>
      </c>
      <c r="C93" s="24" t="s">
        <v>61</v>
      </c>
      <c r="D93" s="24" t="s">
        <v>78</v>
      </c>
      <c r="E93" s="24" t="s">
        <v>41</v>
      </c>
    </row>
    <row r="94" spans="1:5">
      <c r="A94" s="23">
        <v>2270</v>
      </c>
      <c r="B94" s="24" t="s">
        <v>26</v>
      </c>
      <c r="C94" s="24" t="s">
        <v>88</v>
      </c>
      <c r="D94" s="24" t="s">
        <v>67</v>
      </c>
      <c r="E94" s="24" t="s">
        <v>41</v>
      </c>
    </row>
    <row r="95" spans="1:5">
      <c r="A95" s="23">
        <v>2271</v>
      </c>
      <c r="B95" s="24" t="s">
        <v>26</v>
      </c>
      <c r="C95" s="24" t="s">
        <v>82</v>
      </c>
      <c r="D95" s="24" t="s">
        <v>56</v>
      </c>
      <c r="E95" s="24" t="s">
        <v>21</v>
      </c>
    </row>
    <row r="96" spans="1:5">
      <c r="A96" s="23">
        <v>2274</v>
      </c>
      <c r="B96" s="24" t="s">
        <v>26</v>
      </c>
      <c r="C96" s="24" t="s">
        <v>61</v>
      </c>
      <c r="D96" s="24" t="s">
        <v>43</v>
      </c>
      <c r="E96" s="24" t="s">
        <v>41</v>
      </c>
    </row>
    <row r="97" spans="1:5">
      <c r="A97" s="23">
        <v>2277</v>
      </c>
      <c r="B97" s="24" t="s">
        <v>26</v>
      </c>
      <c r="C97" s="24" t="s">
        <v>82</v>
      </c>
      <c r="D97" s="24" t="s">
        <v>42</v>
      </c>
      <c r="E97" s="24" t="s">
        <v>41</v>
      </c>
    </row>
    <row r="98" spans="1:5">
      <c r="A98" s="23">
        <v>2282</v>
      </c>
      <c r="B98" s="24" t="s">
        <v>26</v>
      </c>
      <c r="C98" s="24" t="s">
        <v>82</v>
      </c>
      <c r="D98" s="24" t="s">
        <v>78</v>
      </c>
      <c r="E98" s="24" t="s">
        <v>41</v>
      </c>
    </row>
    <row r="99" spans="1:5">
      <c r="A99" s="23">
        <v>2283</v>
      </c>
      <c r="B99" s="24" t="s">
        <v>26</v>
      </c>
      <c r="C99" s="24" t="s">
        <v>74</v>
      </c>
      <c r="D99" s="24" t="s">
        <v>89</v>
      </c>
      <c r="E99" s="24" t="s">
        <v>41</v>
      </c>
    </row>
    <row r="100" spans="1:5">
      <c r="A100" s="23">
        <v>2285</v>
      </c>
      <c r="B100" s="24" t="s">
        <v>26</v>
      </c>
      <c r="C100" s="24" t="s">
        <v>82</v>
      </c>
      <c r="D100" s="24" t="s">
        <v>65</v>
      </c>
      <c r="E100" s="24" t="s">
        <v>41</v>
      </c>
    </row>
    <row r="101" spans="1:5">
      <c r="A101" s="23">
        <v>2286</v>
      </c>
      <c r="B101" s="24" t="s">
        <v>26</v>
      </c>
      <c r="C101" s="24" t="s">
        <v>74</v>
      </c>
      <c r="D101" s="24" t="s">
        <v>90</v>
      </c>
      <c r="E101" s="24" t="s">
        <v>41</v>
      </c>
    </row>
    <row r="102" spans="1:5">
      <c r="A102" s="23">
        <v>2288</v>
      </c>
      <c r="B102" s="24" t="s">
        <v>26</v>
      </c>
      <c r="C102" s="24" t="s">
        <v>39</v>
      </c>
      <c r="D102" s="24" t="s">
        <v>91</v>
      </c>
      <c r="E102" s="24" t="s">
        <v>41</v>
      </c>
    </row>
    <row r="103" spans="1:5">
      <c r="A103" s="23">
        <v>2289</v>
      </c>
      <c r="B103" s="24" t="s">
        <v>26</v>
      </c>
      <c r="C103" s="24" t="s">
        <v>45</v>
      </c>
      <c r="D103" s="24" t="s">
        <v>58</v>
      </c>
      <c r="E103" s="24" t="s">
        <v>41</v>
      </c>
    </row>
    <row r="104" spans="1:5">
      <c r="A104" s="23">
        <v>2299</v>
      </c>
      <c r="B104" s="24" t="s">
        <v>26</v>
      </c>
      <c r="C104" s="24" t="s">
        <v>82</v>
      </c>
      <c r="D104" s="24" t="s">
        <v>92</v>
      </c>
      <c r="E104" s="24" t="s">
        <v>41</v>
      </c>
    </row>
    <row r="105" spans="1:5">
      <c r="A105" s="23">
        <v>2302</v>
      </c>
      <c r="B105" s="24" t="s">
        <v>26</v>
      </c>
      <c r="C105" s="24" t="s">
        <v>45</v>
      </c>
      <c r="D105" s="24" t="s">
        <v>60</v>
      </c>
      <c r="E105" s="24" t="s">
        <v>41</v>
      </c>
    </row>
    <row r="106" spans="1:5">
      <c r="A106" s="23">
        <v>2303</v>
      </c>
      <c r="B106" s="24" t="s">
        <v>26</v>
      </c>
      <c r="C106" s="24" t="s">
        <v>61</v>
      </c>
      <c r="D106" s="24" t="s">
        <v>43</v>
      </c>
      <c r="E106" s="24" t="s">
        <v>41</v>
      </c>
    </row>
    <row r="107" spans="1:5">
      <c r="A107" s="23">
        <v>2320</v>
      </c>
      <c r="B107" s="24" t="s">
        <v>26</v>
      </c>
      <c r="C107" s="24" t="s">
        <v>82</v>
      </c>
      <c r="D107" s="24" t="s">
        <v>93</v>
      </c>
      <c r="E107" s="24" t="s">
        <v>41</v>
      </c>
    </row>
    <row r="108" spans="1:5">
      <c r="A108" s="23">
        <v>2322</v>
      </c>
      <c r="B108" s="24" t="s">
        <v>26</v>
      </c>
      <c r="C108" s="24" t="s">
        <v>82</v>
      </c>
      <c r="D108" s="24" t="s">
        <v>94</v>
      </c>
      <c r="E108" s="24" t="s">
        <v>41</v>
      </c>
    </row>
    <row r="109" spans="1:5">
      <c r="A109" s="23">
        <v>2326</v>
      </c>
      <c r="B109" s="24" t="s">
        <v>26</v>
      </c>
      <c r="C109" s="24" t="s">
        <v>45</v>
      </c>
      <c r="D109" s="24" t="s">
        <v>95</v>
      </c>
      <c r="E109" s="24" t="s">
        <v>41</v>
      </c>
    </row>
    <row r="110" spans="1:5">
      <c r="A110" s="23">
        <v>2328</v>
      </c>
      <c r="B110" s="24" t="s">
        <v>26</v>
      </c>
      <c r="C110" s="24" t="s">
        <v>74</v>
      </c>
      <c r="D110" s="24" t="s">
        <v>78</v>
      </c>
      <c r="E110" s="24" t="s">
        <v>21</v>
      </c>
    </row>
    <row r="111" spans="1:5">
      <c r="A111" s="23">
        <v>2331</v>
      </c>
      <c r="B111" s="24" t="s">
        <v>26</v>
      </c>
      <c r="C111" s="24" t="s">
        <v>82</v>
      </c>
      <c r="D111" s="24" t="s">
        <v>86</v>
      </c>
      <c r="E111" s="24" t="s">
        <v>41</v>
      </c>
    </row>
    <row r="112" spans="1:5">
      <c r="A112" s="23">
        <v>2332</v>
      </c>
      <c r="B112" s="24" t="s">
        <v>26</v>
      </c>
      <c r="C112" s="24" t="s">
        <v>82</v>
      </c>
      <c r="D112" s="24" t="s">
        <v>96</v>
      </c>
      <c r="E112" s="24" t="s">
        <v>41</v>
      </c>
    </row>
    <row r="113" spans="1:5">
      <c r="A113" s="23">
        <v>2334</v>
      </c>
      <c r="B113" s="24" t="s">
        <v>26</v>
      </c>
      <c r="C113" s="24" t="s">
        <v>74</v>
      </c>
      <c r="D113" s="24" t="s">
        <v>97</v>
      </c>
      <c r="E113" s="24" t="s">
        <v>41</v>
      </c>
    </row>
    <row r="114" spans="1:5">
      <c r="A114" s="23">
        <v>2336</v>
      </c>
      <c r="B114" s="24" t="s">
        <v>47</v>
      </c>
      <c r="C114" s="24" t="s">
        <v>61</v>
      </c>
      <c r="D114" s="24" t="s">
        <v>48</v>
      </c>
      <c r="E114" s="24" t="s">
        <v>21</v>
      </c>
    </row>
    <row r="115" spans="1:5">
      <c r="A115" s="23">
        <v>2338</v>
      </c>
      <c r="B115" s="24" t="s">
        <v>26</v>
      </c>
      <c r="C115" s="24" t="s">
        <v>82</v>
      </c>
      <c r="D115" s="24" t="s">
        <v>98</v>
      </c>
      <c r="E115" s="24" t="s">
        <v>41</v>
      </c>
    </row>
    <row r="116" spans="1:5">
      <c r="A116" s="23">
        <v>2341</v>
      </c>
      <c r="B116" s="24" t="s">
        <v>47</v>
      </c>
      <c r="C116" s="24" t="s">
        <v>82</v>
      </c>
      <c r="D116" s="24" t="s">
        <v>48</v>
      </c>
      <c r="E116" s="24" t="s">
        <v>21</v>
      </c>
    </row>
    <row r="117" spans="1:5">
      <c r="A117" s="23">
        <v>2342</v>
      </c>
      <c r="B117" s="24" t="s">
        <v>26</v>
      </c>
      <c r="C117" s="24" t="s">
        <v>82</v>
      </c>
      <c r="D117" s="24" t="s">
        <v>57</v>
      </c>
      <c r="E117" s="24" t="s">
        <v>41</v>
      </c>
    </row>
    <row r="118" spans="1:5">
      <c r="A118" s="23">
        <v>2344</v>
      </c>
      <c r="B118" s="24" t="s">
        <v>26</v>
      </c>
      <c r="C118" s="24" t="s">
        <v>74</v>
      </c>
      <c r="D118" s="24" t="s">
        <v>99</v>
      </c>
      <c r="E118" s="24" t="s">
        <v>41</v>
      </c>
    </row>
    <row r="119" spans="1:5">
      <c r="A119" s="23">
        <v>2349</v>
      </c>
      <c r="B119" s="24" t="s">
        <v>26</v>
      </c>
      <c r="C119" s="24" t="s">
        <v>82</v>
      </c>
      <c r="D119" s="24" t="s">
        <v>100</v>
      </c>
      <c r="E119" s="24" t="s">
        <v>41</v>
      </c>
    </row>
    <row r="120" spans="1:5">
      <c r="A120" s="23">
        <v>2350</v>
      </c>
      <c r="B120" s="24" t="s">
        <v>47</v>
      </c>
      <c r="C120" s="24" t="s">
        <v>61</v>
      </c>
      <c r="D120" s="24" t="s">
        <v>48</v>
      </c>
      <c r="E120" s="24" t="s">
        <v>21</v>
      </c>
    </row>
    <row r="121" spans="1:5">
      <c r="A121" s="23">
        <v>2353</v>
      </c>
      <c r="B121" s="24" t="s">
        <v>47</v>
      </c>
      <c r="C121" s="24" t="s">
        <v>82</v>
      </c>
      <c r="D121" s="24" t="s">
        <v>48</v>
      </c>
      <c r="E121" s="24" t="s">
        <v>21</v>
      </c>
    </row>
    <row r="122" spans="1:5">
      <c r="A122" s="23">
        <v>2355</v>
      </c>
      <c r="B122" s="24" t="s">
        <v>26</v>
      </c>
      <c r="C122" s="24" t="s">
        <v>82</v>
      </c>
      <c r="D122" s="24" t="s">
        <v>68</v>
      </c>
      <c r="E122" s="24" t="s">
        <v>41</v>
      </c>
    </row>
    <row r="123" spans="1:5">
      <c r="A123" s="23">
        <v>2356</v>
      </c>
      <c r="B123" s="24" t="s">
        <v>26</v>
      </c>
      <c r="C123" s="24" t="s">
        <v>61</v>
      </c>
      <c r="D123" s="24" t="s">
        <v>76</v>
      </c>
      <c r="E123" s="24" t="s">
        <v>41</v>
      </c>
    </row>
    <row r="124" spans="1:5">
      <c r="A124" s="23">
        <v>2357</v>
      </c>
      <c r="B124" s="24" t="s">
        <v>26</v>
      </c>
      <c r="C124" s="24" t="s">
        <v>74</v>
      </c>
      <c r="D124" s="24" t="s">
        <v>101</v>
      </c>
      <c r="E124" s="24" t="s">
        <v>41</v>
      </c>
    </row>
    <row r="125" spans="1:5">
      <c r="A125" s="23">
        <v>2358</v>
      </c>
      <c r="B125" s="24" t="s">
        <v>47</v>
      </c>
      <c r="C125" s="24" t="s">
        <v>61</v>
      </c>
      <c r="D125" s="24" t="s">
        <v>48</v>
      </c>
      <c r="E125" s="24" t="s">
        <v>21</v>
      </c>
    </row>
    <row r="126" spans="1:5">
      <c r="A126" s="23">
        <v>2359</v>
      </c>
      <c r="B126" s="24" t="s">
        <v>26</v>
      </c>
      <c r="C126" s="24" t="s">
        <v>82</v>
      </c>
      <c r="D126" s="24" t="s">
        <v>43</v>
      </c>
      <c r="E126" s="24" t="s">
        <v>41</v>
      </c>
    </row>
    <row r="127" spans="1:5">
      <c r="A127" s="23">
        <v>2362</v>
      </c>
      <c r="B127" s="24" t="s">
        <v>26</v>
      </c>
      <c r="C127" s="24" t="s">
        <v>74</v>
      </c>
      <c r="D127" s="24" t="s">
        <v>73</v>
      </c>
      <c r="E127" s="24" t="s">
        <v>21</v>
      </c>
    </row>
    <row r="128" spans="1:5">
      <c r="A128" s="23">
        <v>2363</v>
      </c>
      <c r="B128" s="24" t="s">
        <v>47</v>
      </c>
      <c r="C128" s="24" t="s">
        <v>74</v>
      </c>
      <c r="D128" s="24" t="s">
        <v>48</v>
      </c>
      <c r="E128" s="24" t="s">
        <v>21</v>
      </c>
    </row>
    <row r="129" spans="1:5">
      <c r="A129" s="23">
        <v>2364</v>
      </c>
      <c r="B129" s="24" t="s">
        <v>26</v>
      </c>
      <c r="C129" s="24" t="s">
        <v>61</v>
      </c>
      <c r="D129" s="24" t="s">
        <v>102</v>
      </c>
      <c r="E129" s="24" t="s">
        <v>41</v>
      </c>
    </row>
    <row r="130" spans="1:5">
      <c r="A130" s="23">
        <v>2365</v>
      </c>
      <c r="B130" s="24" t="s">
        <v>26</v>
      </c>
      <c r="C130" s="24" t="s">
        <v>88</v>
      </c>
      <c r="D130" s="24" t="s">
        <v>103</v>
      </c>
      <c r="E130" s="24" t="s">
        <v>41</v>
      </c>
    </row>
    <row r="131" spans="1:5">
      <c r="A131" s="23">
        <v>2366</v>
      </c>
      <c r="B131" s="24" t="s">
        <v>26</v>
      </c>
      <c r="C131" s="24" t="s">
        <v>74</v>
      </c>
      <c r="D131" s="24" t="s">
        <v>78</v>
      </c>
      <c r="E131" s="24" t="s">
        <v>41</v>
      </c>
    </row>
    <row r="132" spans="1:5">
      <c r="A132" s="23">
        <v>2367</v>
      </c>
      <c r="B132" s="24" t="s">
        <v>26</v>
      </c>
      <c r="C132" s="24" t="s">
        <v>61</v>
      </c>
      <c r="D132" s="24" t="s">
        <v>75</v>
      </c>
      <c r="E132" s="24" t="s">
        <v>41</v>
      </c>
    </row>
    <row r="133" spans="1:5">
      <c r="A133" s="23">
        <v>2368</v>
      </c>
      <c r="B133" s="24" t="s">
        <v>47</v>
      </c>
      <c r="C133" s="24" t="s">
        <v>61</v>
      </c>
      <c r="D133" s="24" t="s">
        <v>48</v>
      </c>
      <c r="E133" s="24" t="s">
        <v>21</v>
      </c>
    </row>
    <row r="134" spans="1:5">
      <c r="A134" s="23">
        <v>2369</v>
      </c>
      <c r="B134" s="24" t="s">
        <v>26</v>
      </c>
      <c r="C134" s="24" t="s">
        <v>88</v>
      </c>
      <c r="D134" s="24" t="s">
        <v>104</v>
      </c>
      <c r="E134" s="24" t="s">
        <v>41</v>
      </c>
    </row>
    <row r="135" spans="1:5">
      <c r="A135" s="23">
        <v>2371</v>
      </c>
      <c r="B135" s="24" t="s">
        <v>47</v>
      </c>
      <c r="C135" s="24" t="s">
        <v>61</v>
      </c>
      <c r="D135" s="24" t="s">
        <v>48</v>
      </c>
      <c r="E135" s="24" t="s">
        <v>21</v>
      </c>
    </row>
    <row r="136" spans="1:5">
      <c r="A136" s="23">
        <v>2373</v>
      </c>
      <c r="B136" s="24" t="s">
        <v>47</v>
      </c>
      <c r="C136" s="24" t="s">
        <v>74</v>
      </c>
      <c r="D136" s="24" t="s">
        <v>48</v>
      </c>
      <c r="E136" s="24" t="s">
        <v>21</v>
      </c>
    </row>
    <row r="137" spans="1:5">
      <c r="A137" s="23">
        <v>2376</v>
      </c>
      <c r="B137" s="24" t="s">
        <v>26</v>
      </c>
      <c r="C137" s="24" t="s">
        <v>82</v>
      </c>
      <c r="D137" s="24" t="s">
        <v>46</v>
      </c>
      <c r="E137" s="24" t="s">
        <v>41</v>
      </c>
    </row>
    <row r="138" spans="1:5">
      <c r="A138" s="23">
        <v>2379</v>
      </c>
      <c r="B138" s="24" t="s">
        <v>26</v>
      </c>
      <c r="C138" s="24" t="s">
        <v>88</v>
      </c>
      <c r="D138" s="24" t="s">
        <v>46</v>
      </c>
      <c r="E138" s="24" t="s">
        <v>41</v>
      </c>
    </row>
    <row r="139" spans="1:5">
      <c r="A139" s="23">
        <v>2383</v>
      </c>
      <c r="B139" s="24" t="s">
        <v>26</v>
      </c>
      <c r="C139" s="24" t="s">
        <v>61</v>
      </c>
      <c r="D139" s="24" t="s">
        <v>46</v>
      </c>
      <c r="E139" s="24" t="s">
        <v>41</v>
      </c>
    </row>
    <row r="140" spans="1:5">
      <c r="A140" s="23">
        <v>2387</v>
      </c>
      <c r="B140" s="24" t="s">
        <v>26</v>
      </c>
      <c r="C140" s="24" t="s">
        <v>61</v>
      </c>
      <c r="D140" s="24" t="s">
        <v>40</v>
      </c>
      <c r="E140" s="24" t="s">
        <v>41</v>
      </c>
    </row>
    <row r="141" spans="1:5">
      <c r="A141" s="23">
        <v>2388</v>
      </c>
      <c r="B141" s="24" t="s">
        <v>26</v>
      </c>
      <c r="C141" s="24" t="s">
        <v>82</v>
      </c>
      <c r="D141" s="24" t="s">
        <v>95</v>
      </c>
      <c r="E141" s="24" t="s">
        <v>41</v>
      </c>
    </row>
    <row r="142" spans="1:5">
      <c r="A142" s="23">
        <v>2389</v>
      </c>
      <c r="B142" s="24" t="s">
        <v>26</v>
      </c>
      <c r="C142" s="24" t="s">
        <v>82</v>
      </c>
      <c r="D142" s="24" t="s">
        <v>102</v>
      </c>
      <c r="E142" s="24" t="s">
        <v>41</v>
      </c>
    </row>
    <row r="143" spans="1:5">
      <c r="A143" s="23">
        <v>2390</v>
      </c>
      <c r="B143" s="24" t="s">
        <v>47</v>
      </c>
      <c r="C143" s="24" t="s">
        <v>74</v>
      </c>
      <c r="D143" s="24" t="s">
        <v>48</v>
      </c>
      <c r="E143" s="24" t="s">
        <v>21</v>
      </c>
    </row>
    <row r="144" spans="1:5">
      <c r="A144" s="23">
        <v>2395</v>
      </c>
      <c r="B144" s="24" t="s">
        <v>26</v>
      </c>
      <c r="C144" s="24" t="s">
        <v>61</v>
      </c>
      <c r="D144" s="24" t="s">
        <v>65</v>
      </c>
      <c r="E144" s="24" t="s">
        <v>41</v>
      </c>
    </row>
    <row r="145" spans="1:5">
      <c r="A145" s="23">
        <v>2396</v>
      </c>
      <c r="B145" s="24" t="s">
        <v>26</v>
      </c>
      <c r="C145" s="24" t="s">
        <v>88</v>
      </c>
      <c r="D145" s="24" t="s">
        <v>53</v>
      </c>
      <c r="E145" s="24" t="s">
        <v>41</v>
      </c>
    </row>
    <row r="146" spans="1:5">
      <c r="A146" s="23">
        <v>2398</v>
      </c>
      <c r="B146" s="24" t="s">
        <v>26</v>
      </c>
      <c r="C146" s="24" t="s">
        <v>88</v>
      </c>
      <c r="D146" s="24" t="s">
        <v>92</v>
      </c>
      <c r="E146" s="24" t="s">
        <v>41</v>
      </c>
    </row>
    <row r="147" spans="1:5">
      <c r="A147" s="23">
        <v>2399</v>
      </c>
      <c r="B147" s="24" t="s">
        <v>26</v>
      </c>
      <c r="C147" s="24" t="s">
        <v>88</v>
      </c>
      <c r="D147" s="24" t="s">
        <v>105</v>
      </c>
      <c r="E147" s="24" t="s">
        <v>41</v>
      </c>
    </row>
    <row r="148" spans="1:5">
      <c r="A148" s="23">
        <v>2400</v>
      </c>
      <c r="B148" s="24" t="s">
        <v>26</v>
      </c>
      <c r="C148" s="24" t="s">
        <v>106</v>
      </c>
      <c r="D148" s="24" t="s">
        <v>90</v>
      </c>
      <c r="E148" s="24" t="s">
        <v>41</v>
      </c>
    </row>
    <row r="149" spans="1:5">
      <c r="A149" s="23">
        <v>2402</v>
      </c>
      <c r="B149" s="24" t="s">
        <v>26</v>
      </c>
      <c r="C149" s="24" t="s">
        <v>88</v>
      </c>
      <c r="D149" s="24" t="s">
        <v>57</v>
      </c>
      <c r="E149" s="24" t="s">
        <v>41</v>
      </c>
    </row>
    <row r="150" spans="1:5">
      <c r="A150" s="23">
        <v>2403</v>
      </c>
      <c r="B150" s="24" t="s">
        <v>26</v>
      </c>
      <c r="C150" s="24" t="s">
        <v>82</v>
      </c>
      <c r="D150" s="24" t="s">
        <v>107</v>
      </c>
      <c r="E150" s="24" t="s">
        <v>41</v>
      </c>
    </row>
    <row r="151" spans="1:5">
      <c r="A151" s="23">
        <v>2404</v>
      </c>
      <c r="B151" s="24" t="s">
        <v>26</v>
      </c>
      <c r="C151" s="24" t="s">
        <v>88</v>
      </c>
      <c r="D151" s="24" t="s">
        <v>43</v>
      </c>
      <c r="E151" s="24" t="s">
        <v>41</v>
      </c>
    </row>
    <row r="152" spans="1:5">
      <c r="A152" s="23">
        <v>2405</v>
      </c>
      <c r="B152" s="24" t="s">
        <v>47</v>
      </c>
      <c r="C152" s="24" t="s">
        <v>74</v>
      </c>
      <c r="D152" s="24" t="s">
        <v>48</v>
      </c>
      <c r="E152" s="24" t="s">
        <v>21</v>
      </c>
    </row>
    <row r="153" spans="1:5">
      <c r="A153" s="23">
        <v>2406</v>
      </c>
      <c r="B153" s="24" t="s">
        <v>26</v>
      </c>
      <c r="C153" s="24" t="s">
        <v>106</v>
      </c>
      <c r="D153" s="24" t="s">
        <v>67</v>
      </c>
      <c r="E153" s="24" t="s">
        <v>41</v>
      </c>
    </row>
    <row r="154" spans="1:5">
      <c r="A154" s="23">
        <v>2407</v>
      </c>
      <c r="B154" s="24" t="s">
        <v>47</v>
      </c>
      <c r="C154" s="24" t="s">
        <v>88</v>
      </c>
      <c r="D154" s="24" t="s">
        <v>48</v>
      </c>
      <c r="E154" s="24" t="s">
        <v>21</v>
      </c>
    </row>
    <row r="155" spans="1:5">
      <c r="A155" s="23">
        <v>2416</v>
      </c>
      <c r="B155" s="24" t="s">
        <v>26</v>
      </c>
      <c r="C155" s="24" t="s">
        <v>106</v>
      </c>
      <c r="D155" s="24" t="s">
        <v>83</v>
      </c>
      <c r="E155" s="24" t="s">
        <v>41</v>
      </c>
    </row>
    <row r="156" spans="1:5">
      <c r="A156" s="23">
        <v>2422</v>
      </c>
      <c r="B156" s="24" t="s">
        <v>26</v>
      </c>
      <c r="C156" s="24" t="s">
        <v>106</v>
      </c>
      <c r="D156" s="24" t="s">
        <v>75</v>
      </c>
      <c r="E156" s="24" t="s">
        <v>41</v>
      </c>
    </row>
    <row r="157" spans="1:5">
      <c r="A157" s="23">
        <v>2423</v>
      </c>
      <c r="B157" s="24" t="s">
        <v>47</v>
      </c>
      <c r="C157" s="24" t="s">
        <v>106</v>
      </c>
      <c r="D157" s="24" t="s">
        <v>48</v>
      </c>
      <c r="E157" s="24" t="s">
        <v>21</v>
      </c>
    </row>
    <row r="158" spans="1:5">
      <c r="A158" s="23">
        <v>2428</v>
      </c>
      <c r="B158" s="24" t="s">
        <v>26</v>
      </c>
      <c r="C158" s="24" t="s">
        <v>88</v>
      </c>
      <c r="D158" s="24" t="s">
        <v>104</v>
      </c>
      <c r="E158" s="24" t="s">
        <v>41</v>
      </c>
    </row>
    <row r="159" spans="1:5">
      <c r="A159" s="23">
        <v>2429</v>
      </c>
      <c r="B159" s="24" t="s">
        <v>26</v>
      </c>
      <c r="C159" s="24" t="s">
        <v>74</v>
      </c>
      <c r="D159" s="24" t="s">
        <v>108</v>
      </c>
      <c r="E159" s="24" t="s">
        <v>41</v>
      </c>
    </row>
    <row r="160" spans="1:5">
      <c r="A160" s="23">
        <v>2430</v>
      </c>
      <c r="B160" s="24" t="s">
        <v>26</v>
      </c>
      <c r="C160" s="24" t="s">
        <v>39</v>
      </c>
      <c r="D160" s="24" t="s">
        <v>109</v>
      </c>
      <c r="E160" s="24" t="s">
        <v>41</v>
      </c>
    </row>
    <row r="161" spans="1:5">
      <c r="A161" s="23">
        <v>2431</v>
      </c>
      <c r="B161" s="24" t="s">
        <v>26</v>
      </c>
      <c r="C161" s="24" t="s">
        <v>61</v>
      </c>
      <c r="D161" s="24" t="s">
        <v>110</v>
      </c>
      <c r="E161" s="24" t="s">
        <v>21</v>
      </c>
    </row>
    <row r="162" spans="1:5">
      <c r="A162" s="23">
        <v>2434</v>
      </c>
      <c r="B162" s="24" t="s">
        <v>26</v>
      </c>
      <c r="C162" s="24" t="s">
        <v>88</v>
      </c>
      <c r="D162" s="24" t="s">
        <v>111</v>
      </c>
      <c r="E162" s="24" t="s">
        <v>41</v>
      </c>
    </row>
    <row r="163" spans="1:5">
      <c r="A163" s="23">
        <v>2435</v>
      </c>
      <c r="B163" s="24" t="s">
        <v>47</v>
      </c>
      <c r="C163" s="24" t="s">
        <v>106</v>
      </c>
      <c r="D163" s="24" t="s">
        <v>48</v>
      </c>
      <c r="E163" s="24" t="s">
        <v>21</v>
      </c>
    </row>
    <row r="164" spans="1:5">
      <c r="A164" s="23">
        <v>2436</v>
      </c>
      <c r="B164" s="24" t="s">
        <v>26</v>
      </c>
      <c r="C164" s="24" t="s">
        <v>88</v>
      </c>
      <c r="D164" s="24" t="s">
        <v>78</v>
      </c>
      <c r="E164" s="24" t="s">
        <v>41</v>
      </c>
    </row>
    <row r="165" spans="1:5">
      <c r="A165" s="23">
        <v>2438</v>
      </c>
      <c r="B165" s="24" t="s">
        <v>26</v>
      </c>
      <c r="C165" s="24" t="s">
        <v>82</v>
      </c>
      <c r="D165" s="24" t="s">
        <v>103</v>
      </c>
      <c r="E165" s="24" t="s">
        <v>41</v>
      </c>
    </row>
    <row r="166" spans="1:5">
      <c r="A166" s="23">
        <v>2439</v>
      </c>
      <c r="B166" s="24" t="s">
        <v>26</v>
      </c>
      <c r="C166" s="24" t="s">
        <v>88</v>
      </c>
      <c r="D166" s="24" t="s">
        <v>112</v>
      </c>
      <c r="E166" s="24" t="s">
        <v>41</v>
      </c>
    </row>
    <row r="167" spans="1:5">
      <c r="A167" s="23">
        <v>2440</v>
      </c>
      <c r="B167" s="24" t="s">
        <v>26</v>
      </c>
      <c r="C167" s="24" t="s">
        <v>88</v>
      </c>
      <c r="D167" s="24" t="s">
        <v>91</v>
      </c>
      <c r="E167" s="24" t="s">
        <v>41</v>
      </c>
    </row>
    <row r="168" spans="1:5">
      <c r="A168" s="23">
        <v>2441</v>
      </c>
      <c r="B168" s="24" t="s">
        <v>26</v>
      </c>
      <c r="C168" s="24" t="s">
        <v>88</v>
      </c>
      <c r="D168" s="24" t="s">
        <v>109</v>
      </c>
      <c r="E168" s="24" t="s">
        <v>41</v>
      </c>
    </row>
    <row r="169" spans="1:5">
      <c r="A169" s="23">
        <v>2444</v>
      </c>
      <c r="B169" s="24" t="s">
        <v>26</v>
      </c>
      <c r="C169" s="24" t="s">
        <v>88</v>
      </c>
      <c r="D169" s="24" t="s">
        <v>57</v>
      </c>
      <c r="E169" s="24" t="s">
        <v>41</v>
      </c>
    </row>
    <row r="170" spans="1:5">
      <c r="A170" s="23">
        <v>2445</v>
      </c>
      <c r="B170" s="24" t="s">
        <v>26</v>
      </c>
      <c r="C170" s="24" t="s">
        <v>88</v>
      </c>
      <c r="D170" s="24" t="s">
        <v>63</v>
      </c>
      <c r="E170" s="24" t="s">
        <v>41</v>
      </c>
    </row>
    <row r="171" spans="1:5">
      <c r="A171" s="23">
        <v>2446</v>
      </c>
      <c r="B171" s="24" t="s">
        <v>47</v>
      </c>
      <c r="C171" s="24" t="s">
        <v>82</v>
      </c>
      <c r="D171" s="24" t="s">
        <v>48</v>
      </c>
      <c r="E171" s="24" t="s">
        <v>21</v>
      </c>
    </row>
    <row r="172" spans="1:5">
      <c r="A172" s="23">
        <v>2447</v>
      </c>
      <c r="B172" s="24" t="s">
        <v>47</v>
      </c>
      <c r="C172" s="24" t="s">
        <v>106</v>
      </c>
      <c r="D172" s="24" t="s">
        <v>48</v>
      </c>
      <c r="E172" s="24" t="s">
        <v>21</v>
      </c>
    </row>
    <row r="173" spans="1:5">
      <c r="A173" s="23">
        <v>2461</v>
      </c>
      <c r="B173" s="24" t="s">
        <v>26</v>
      </c>
      <c r="C173" s="24" t="s">
        <v>106</v>
      </c>
      <c r="D173" s="24" t="s">
        <v>95</v>
      </c>
      <c r="E173" s="24" t="s">
        <v>41</v>
      </c>
    </row>
    <row r="174" spans="1:5">
      <c r="A174" s="23">
        <v>2462</v>
      </c>
      <c r="B174" s="24" t="s">
        <v>26</v>
      </c>
      <c r="C174" s="24" t="s">
        <v>82</v>
      </c>
      <c r="D174" s="24" t="s">
        <v>103</v>
      </c>
      <c r="E174" s="24" t="s">
        <v>41</v>
      </c>
    </row>
    <row r="175" spans="1:5">
      <c r="A175" s="23">
        <v>2463</v>
      </c>
      <c r="B175" s="24" t="s">
        <v>26</v>
      </c>
      <c r="C175" s="24" t="s">
        <v>106</v>
      </c>
      <c r="D175" s="24" t="s">
        <v>113</v>
      </c>
      <c r="E175" s="24" t="s">
        <v>41</v>
      </c>
    </row>
    <row r="176" spans="1:5">
      <c r="A176" s="23">
        <v>2465</v>
      </c>
      <c r="B176" s="24" t="s">
        <v>26</v>
      </c>
      <c r="C176" s="24" t="s">
        <v>82</v>
      </c>
      <c r="D176" s="24" t="s">
        <v>68</v>
      </c>
      <c r="E176" s="24" t="s">
        <v>41</v>
      </c>
    </row>
    <row r="177" spans="1:5">
      <c r="A177" s="23">
        <v>2467</v>
      </c>
      <c r="B177" s="24" t="s">
        <v>26</v>
      </c>
      <c r="C177" s="24" t="s">
        <v>88</v>
      </c>
      <c r="D177" s="24" t="s">
        <v>83</v>
      </c>
      <c r="E177" s="24" t="s">
        <v>41</v>
      </c>
    </row>
    <row r="178" spans="1:5">
      <c r="A178" s="23">
        <v>2471</v>
      </c>
      <c r="B178" s="24" t="s">
        <v>70</v>
      </c>
      <c r="C178" s="24" t="s">
        <v>61</v>
      </c>
      <c r="D178" s="24" t="s">
        <v>71</v>
      </c>
      <c r="E178" s="24" t="s">
        <v>72</v>
      </c>
    </row>
    <row r="179" spans="1:5">
      <c r="A179" s="23">
        <v>2473</v>
      </c>
      <c r="B179" s="24" t="s">
        <v>26</v>
      </c>
      <c r="C179" s="24" t="s">
        <v>82</v>
      </c>
      <c r="D179" s="24" t="s">
        <v>114</v>
      </c>
      <c r="E179" s="24" t="s">
        <v>41</v>
      </c>
    </row>
    <row r="180" spans="1:5">
      <c r="A180" s="23">
        <v>2474</v>
      </c>
      <c r="B180" s="24" t="s">
        <v>26</v>
      </c>
      <c r="C180" s="24" t="s">
        <v>106</v>
      </c>
      <c r="D180" s="24" t="s">
        <v>59</v>
      </c>
      <c r="E180" s="24" t="s">
        <v>41</v>
      </c>
    </row>
    <row r="181" spans="1:5">
      <c r="A181" s="23">
        <v>2476</v>
      </c>
      <c r="B181" s="24" t="s">
        <v>26</v>
      </c>
      <c r="C181" s="24" t="s">
        <v>88</v>
      </c>
      <c r="D181" s="24" t="s">
        <v>115</v>
      </c>
      <c r="E181" s="24" t="s">
        <v>41</v>
      </c>
    </row>
    <row r="182" spans="1:5">
      <c r="A182" s="23">
        <v>2477</v>
      </c>
      <c r="B182" s="24" t="s">
        <v>26</v>
      </c>
      <c r="C182" s="24" t="s">
        <v>88</v>
      </c>
      <c r="D182" s="24" t="s">
        <v>42</v>
      </c>
      <c r="E182" s="24" t="s">
        <v>41</v>
      </c>
    </row>
    <row r="183" spans="1:5">
      <c r="A183" s="23">
        <v>2481</v>
      </c>
      <c r="B183" s="24" t="s">
        <v>47</v>
      </c>
      <c r="C183" s="24" t="s">
        <v>88</v>
      </c>
      <c r="D183" s="24" t="s">
        <v>48</v>
      </c>
      <c r="E183" s="24" t="s">
        <v>21</v>
      </c>
    </row>
    <row r="184" spans="1:5">
      <c r="A184" s="23">
        <v>2483</v>
      </c>
      <c r="B184" s="24" t="s">
        <v>26</v>
      </c>
      <c r="C184" s="24" t="s">
        <v>106</v>
      </c>
      <c r="D184" s="24" t="s">
        <v>96</v>
      </c>
      <c r="E184" s="24" t="s">
        <v>41</v>
      </c>
    </row>
    <row r="185" spans="1:5">
      <c r="A185" s="23">
        <v>2485</v>
      </c>
      <c r="B185" s="24" t="s">
        <v>26</v>
      </c>
      <c r="C185" s="24" t="s">
        <v>45</v>
      </c>
      <c r="D185" s="24" t="s">
        <v>56</v>
      </c>
      <c r="E185" s="24" t="s">
        <v>21</v>
      </c>
    </row>
    <row r="186" spans="1:5">
      <c r="A186" s="23">
        <v>2486</v>
      </c>
      <c r="B186" s="24" t="s">
        <v>26</v>
      </c>
      <c r="C186" s="24" t="s">
        <v>106</v>
      </c>
      <c r="D186" s="24" t="s">
        <v>116</v>
      </c>
      <c r="E186" s="24" t="s">
        <v>41</v>
      </c>
    </row>
    <row r="187" spans="1:5">
      <c r="A187" s="23">
        <v>2488</v>
      </c>
      <c r="B187" s="24" t="s">
        <v>26</v>
      </c>
      <c r="C187" s="24" t="s">
        <v>39</v>
      </c>
      <c r="D187" s="24" t="s">
        <v>49</v>
      </c>
      <c r="E187" s="24" t="s">
        <v>21</v>
      </c>
    </row>
    <row r="188" spans="1:5">
      <c r="A188" s="23">
        <v>2490</v>
      </c>
      <c r="B188" s="24" t="s">
        <v>47</v>
      </c>
      <c r="C188" s="24" t="s">
        <v>82</v>
      </c>
      <c r="D188" s="24" t="s">
        <v>48</v>
      </c>
      <c r="E188" s="24" t="s">
        <v>21</v>
      </c>
    </row>
    <row r="189" spans="1:5">
      <c r="A189" s="23">
        <v>2494</v>
      </c>
      <c r="B189" s="24" t="s">
        <v>26</v>
      </c>
      <c r="C189" s="24" t="s">
        <v>106</v>
      </c>
      <c r="D189" s="24" t="s">
        <v>49</v>
      </c>
      <c r="E189" s="24" t="s">
        <v>41</v>
      </c>
    </row>
    <row r="190" spans="1:5">
      <c r="A190" s="23">
        <v>2497</v>
      </c>
      <c r="B190" s="24" t="s">
        <v>26</v>
      </c>
      <c r="C190" s="24" t="s">
        <v>88</v>
      </c>
      <c r="D190" s="24" t="s">
        <v>89</v>
      </c>
      <c r="E190" s="24" t="s">
        <v>41</v>
      </c>
    </row>
    <row r="191" spans="1:5">
      <c r="A191" s="23">
        <v>2505</v>
      </c>
      <c r="B191" s="24" t="s">
        <v>26</v>
      </c>
      <c r="C191" s="24" t="s">
        <v>82</v>
      </c>
      <c r="D191" s="24" t="s">
        <v>53</v>
      </c>
      <c r="E191" s="24" t="s">
        <v>21</v>
      </c>
    </row>
    <row r="192" spans="1:5">
      <c r="A192" s="23">
        <v>2506</v>
      </c>
      <c r="B192" s="24" t="s">
        <v>47</v>
      </c>
      <c r="C192" s="24" t="s">
        <v>106</v>
      </c>
      <c r="D192" s="24" t="s">
        <v>48</v>
      </c>
      <c r="E192" s="24" t="s">
        <v>21</v>
      </c>
    </row>
    <row r="193" spans="1:5">
      <c r="A193" s="23">
        <v>2507</v>
      </c>
      <c r="B193" s="24" t="s">
        <v>47</v>
      </c>
      <c r="C193" s="24" t="s">
        <v>106</v>
      </c>
      <c r="D193" s="24" t="s">
        <v>48</v>
      </c>
      <c r="E193" s="24" t="s">
        <v>21</v>
      </c>
    </row>
    <row r="194" spans="1:5">
      <c r="A194" s="23">
        <v>2508</v>
      </c>
      <c r="B194" s="24" t="s">
        <v>47</v>
      </c>
      <c r="C194" s="24" t="s">
        <v>117</v>
      </c>
      <c r="D194" s="24" t="s">
        <v>48</v>
      </c>
      <c r="E194" s="24" t="s">
        <v>21</v>
      </c>
    </row>
    <row r="195" spans="1:5">
      <c r="A195" s="23">
        <v>2509</v>
      </c>
      <c r="B195" s="24" t="s">
        <v>26</v>
      </c>
      <c r="C195" s="24" t="s">
        <v>117</v>
      </c>
      <c r="D195" s="24" t="s">
        <v>56</v>
      </c>
      <c r="E195" s="24" t="s">
        <v>41</v>
      </c>
    </row>
    <row r="196" spans="1:5">
      <c r="A196" s="23">
        <v>2512</v>
      </c>
      <c r="B196" s="24" t="s">
        <v>26</v>
      </c>
      <c r="C196" s="24" t="s">
        <v>106</v>
      </c>
      <c r="D196" s="24" t="s">
        <v>78</v>
      </c>
      <c r="E196" s="24" t="s">
        <v>41</v>
      </c>
    </row>
    <row r="197" spans="1:5">
      <c r="A197" s="23">
        <v>2514</v>
      </c>
      <c r="B197" s="24" t="s">
        <v>26</v>
      </c>
      <c r="C197" s="24" t="s">
        <v>117</v>
      </c>
      <c r="D197" s="24" t="s">
        <v>46</v>
      </c>
      <c r="E197" s="24" t="s">
        <v>41</v>
      </c>
    </row>
    <row r="198" spans="1:5">
      <c r="A198" s="23">
        <v>2516</v>
      </c>
      <c r="B198" s="24" t="s">
        <v>26</v>
      </c>
      <c r="C198" s="24" t="s">
        <v>106</v>
      </c>
      <c r="D198" s="24" t="s">
        <v>81</v>
      </c>
      <c r="E198" s="24" t="s">
        <v>41</v>
      </c>
    </row>
    <row r="199" spans="1:5">
      <c r="A199" s="23">
        <v>2517</v>
      </c>
      <c r="B199" s="24" t="s">
        <v>26</v>
      </c>
      <c r="C199" s="24" t="s">
        <v>82</v>
      </c>
      <c r="D199" s="24" t="s">
        <v>118</v>
      </c>
      <c r="E199" s="24" t="s">
        <v>41</v>
      </c>
    </row>
    <row r="200" spans="1:5">
      <c r="A200" s="23">
        <v>2519</v>
      </c>
      <c r="B200" s="24" t="s">
        <v>26</v>
      </c>
      <c r="C200" s="24" t="s">
        <v>88</v>
      </c>
      <c r="D200" s="24" t="s">
        <v>119</v>
      </c>
      <c r="E200" s="24" t="s">
        <v>41</v>
      </c>
    </row>
    <row r="201" spans="1:5">
      <c r="A201" s="23">
        <v>2521</v>
      </c>
      <c r="B201" s="24" t="s">
        <v>26</v>
      </c>
      <c r="C201" s="24" t="s">
        <v>82</v>
      </c>
      <c r="D201" s="24" t="s">
        <v>56</v>
      </c>
      <c r="E201" s="24" t="s">
        <v>41</v>
      </c>
    </row>
    <row r="202" spans="1:5">
      <c r="A202" s="23">
        <v>2522</v>
      </c>
      <c r="B202" s="24" t="s">
        <v>26</v>
      </c>
      <c r="C202" s="24" t="s">
        <v>106</v>
      </c>
      <c r="D202" s="24" t="s">
        <v>56</v>
      </c>
      <c r="E202" s="24" t="s">
        <v>41</v>
      </c>
    </row>
    <row r="203" spans="1:5">
      <c r="A203" s="23">
        <v>2523</v>
      </c>
      <c r="B203" s="24" t="s">
        <v>26</v>
      </c>
      <c r="C203" s="24" t="s">
        <v>74</v>
      </c>
      <c r="D203" s="24" t="s">
        <v>95</v>
      </c>
      <c r="E203" s="24" t="s">
        <v>41</v>
      </c>
    </row>
    <row r="204" spans="1:5">
      <c r="A204" s="23">
        <v>2524</v>
      </c>
      <c r="B204" s="24" t="s">
        <v>26</v>
      </c>
      <c r="C204" s="24" t="s">
        <v>106</v>
      </c>
      <c r="D204" s="24" t="s">
        <v>95</v>
      </c>
      <c r="E204" s="24" t="s">
        <v>41</v>
      </c>
    </row>
    <row r="205" spans="1:5">
      <c r="A205" s="23">
        <v>2525</v>
      </c>
      <c r="B205" s="24" t="s">
        <v>26</v>
      </c>
      <c r="C205" s="24" t="s">
        <v>74</v>
      </c>
      <c r="D205" s="24" t="s">
        <v>83</v>
      </c>
      <c r="E205" s="24" t="s">
        <v>41</v>
      </c>
    </row>
    <row r="206" spans="1:5">
      <c r="A206" s="23">
        <v>2527</v>
      </c>
      <c r="B206" s="24" t="s">
        <v>26</v>
      </c>
      <c r="C206" s="24" t="s">
        <v>106</v>
      </c>
      <c r="D206" s="24" t="s">
        <v>90</v>
      </c>
      <c r="E206" s="24" t="s">
        <v>41</v>
      </c>
    </row>
    <row r="207" spans="1:5">
      <c r="A207" s="23">
        <v>2531</v>
      </c>
      <c r="B207" s="24" t="s">
        <v>26</v>
      </c>
      <c r="C207" s="24" t="s">
        <v>106</v>
      </c>
      <c r="D207" s="24" t="s">
        <v>53</v>
      </c>
      <c r="E207" s="24" t="s">
        <v>41</v>
      </c>
    </row>
    <row r="208" spans="1:5">
      <c r="A208" s="23">
        <v>2533</v>
      </c>
      <c r="B208" s="24" t="s">
        <v>26</v>
      </c>
      <c r="C208" s="24" t="s">
        <v>82</v>
      </c>
      <c r="D208" s="24" t="s">
        <v>104</v>
      </c>
      <c r="E208" s="24" t="s">
        <v>41</v>
      </c>
    </row>
    <row r="209" spans="1:5">
      <c r="A209" s="23">
        <v>2534</v>
      </c>
      <c r="B209" s="24" t="s">
        <v>26</v>
      </c>
      <c r="C209" s="24" t="s">
        <v>117</v>
      </c>
      <c r="D209" s="24" t="s">
        <v>85</v>
      </c>
      <c r="E209" s="24" t="s">
        <v>41</v>
      </c>
    </row>
    <row r="210" spans="1:5">
      <c r="A210" s="23">
        <v>2538</v>
      </c>
      <c r="B210" s="24" t="s">
        <v>26</v>
      </c>
      <c r="C210" s="24" t="s">
        <v>117</v>
      </c>
      <c r="D210" s="24" t="s">
        <v>120</v>
      </c>
      <c r="E210" s="24" t="s">
        <v>41</v>
      </c>
    </row>
    <row r="211" spans="1:5">
      <c r="A211" s="23">
        <v>2542</v>
      </c>
      <c r="B211" s="24" t="s">
        <v>47</v>
      </c>
      <c r="C211" s="24" t="s">
        <v>39</v>
      </c>
      <c r="D211" s="24" t="s">
        <v>48</v>
      </c>
      <c r="E211" s="24" t="s">
        <v>21</v>
      </c>
    </row>
    <row r="212" spans="1:5">
      <c r="A212" s="23">
        <v>2543</v>
      </c>
      <c r="B212" s="24" t="s">
        <v>70</v>
      </c>
      <c r="C212" s="24" t="s">
        <v>106</v>
      </c>
      <c r="D212" s="24" t="s">
        <v>79</v>
      </c>
      <c r="E212" s="24" t="s">
        <v>80</v>
      </c>
    </row>
    <row r="213" spans="1:5">
      <c r="A213" s="23">
        <v>2545</v>
      </c>
      <c r="B213" s="24" t="s">
        <v>26</v>
      </c>
      <c r="C213" s="24" t="s">
        <v>117</v>
      </c>
      <c r="D213" s="24" t="s">
        <v>103</v>
      </c>
      <c r="E213" s="24" t="s">
        <v>41</v>
      </c>
    </row>
    <row r="214" spans="1:5">
      <c r="A214" s="23">
        <v>2546</v>
      </c>
      <c r="B214" s="24" t="s">
        <v>26</v>
      </c>
      <c r="C214" s="24" t="s">
        <v>45</v>
      </c>
      <c r="D214" s="24" t="s">
        <v>121</v>
      </c>
      <c r="E214" s="24" t="s">
        <v>41</v>
      </c>
    </row>
    <row r="215" spans="1:5">
      <c r="A215" s="23">
        <v>2547</v>
      </c>
      <c r="B215" s="24" t="s">
        <v>26</v>
      </c>
      <c r="C215" s="24" t="s">
        <v>106</v>
      </c>
      <c r="D215" s="24" t="s">
        <v>122</v>
      </c>
      <c r="E215" s="24" t="s">
        <v>41</v>
      </c>
    </row>
    <row r="216" spans="1:5">
      <c r="A216" s="23">
        <v>2548</v>
      </c>
      <c r="B216" s="24" t="s">
        <v>26</v>
      </c>
      <c r="C216" s="24" t="s">
        <v>106</v>
      </c>
      <c r="D216" s="24" t="s">
        <v>78</v>
      </c>
      <c r="E216" s="24" t="s">
        <v>41</v>
      </c>
    </row>
    <row r="217" spans="1:5">
      <c r="A217" s="23">
        <v>2549</v>
      </c>
      <c r="B217" s="24" t="s">
        <v>47</v>
      </c>
      <c r="C217" s="24" t="s">
        <v>82</v>
      </c>
      <c r="D217" s="24" t="s">
        <v>48</v>
      </c>
      <c r="E217" s="24" t="s">
        <v>21</v>
      </c>
    </row>
    <row r="218" spans="1:5">
      <c r="A218" s="23">
        <v>2550</v>
      </c>
      <c r="B218" s="24" t="s">
        <v>47</v>
      </c>
      <c r="C218" s="24" t="s">
        <v>106</v>
      </c>
      <c r="D218" s="24" t="s">
        <v>48</v>
      </c>
      <c r="E218" s="24" t="s">
        <v>21</v>
      </c>
    </row>
    <row r="219" spans="1:5">
      <c r="A219" s="23">
        <v>2551</v>
      </c>
      <c r="B219" s="24" t="s">
        <v>26</v>
      </c>
      <c r="C219" s="24" t="s">
        <v>117</v>
      </c>
      <c r="D219" s="24" t="s">
        <v>60</v>
      </c>
      <c r="E219" s="24" t="s">
        <v>41</v>
      </c>
    </row>
    <row r="220" spans="1:5">
      <c r="A220" s="23">
        <v>2552</v>
      </c>
      <c r="B220" s="24" t="s">
        <v>47</v>
      </c>
      <c r="C220" s="24" t="s">
        <v>88</v>
      </c>
      <c r="D220" s="24" t="s">
        <v>48</v>
      </c>
      <c r="E220" s="24" t="s">
        <v>21</v>
      </c>
    </row>
    <row r="221" spans="1:5">
      <c r="A221" s="23">
        <v>2555</v>
      </c>
      <c r="B221" s="24" t="s">
        <v>26</v>
      </c>
      <c r="C221" s="24" t="s">
        <v>117</v>
      </c>
      <c r="D221" s="24" t="s">
        <v>123</v>
      </c>
      <c r="E221" s="24" t="s">
        <v>41</v>
      </c>
    </row>
    <row r="222" spans="1:5">
      <c r="A222" s="23">
        <v>2558</v>
      </c>
      <c r="B222" s="24" t="s">
        <v>26</v>
      </c>
      <c r="C222" s="24" t="s">
        <v>88</v>
      </c>
      <c r="D222" s="24" t="s">
        <v>59</v>
      </c>
      <c r="E222" s="24" t="s">
        <v>41</v>
      </c>
    </row>
    <row r="223" spans="1:5">
      <c r="A223" s="23">
        <v>2559</v>
      </c>
      <c r="B223" s="24" t="s">
        <v>26</v>
      </c>
      <c r="C223" s="24" t="s">
        <v>39</v>
      </c>
      <c r="D223" s="24" t="s">
        <v>59</v>
      </c>
      <c r="E223" s="24" t="s">
        <v>41</v>
      </c>
    </row>
    <row r="224" spans="1:5">
      <c r="A224" s="23">
        <v>2561</v>
      </c>
      <c r="B224" s="24" t="s">
        <v>26</v>
      </c>
      <c r="C224" s="24" t="s">
        <v>88</v>
      </c>
      <c r="D224" s="24" t="s">
        <v>78</v>
      </c>
      <c r="E224" s="24" t="s">
        <v>41</v>
      </c>
    </row>
    <row r="225" spans="1:5">
      <c r="A225" s="23">
        <v>2562</v>
      </c>
      <c r="B225" s="24" t="s">
        <v>47</v>
      </c>
      <c r="C225" s="24" t="s">
        <v>74</v>
      </c>
      <c r="D225" s="24" t="s">
        <v>48</v>
      </c>
      <c r="E225" s="24" t="s">
        <v>21</v>
      </c>
    </row>
    <row r="226" spans="1:5">
      <c r="A226" s="23">
        <v>2566</v>
      </c>
      <c r="B226" s="24" t="s">
        <v>26</v>
      </c>
      <c r="C226" s="24" t="s">
        <v>117</v>
      </c>
      <c r="D226" s="24" t="s">
        <v>78</v>
      </c>
      <c r="E226" s="24" t="s">
        <v>41</v>
      </c>
    </row>
    <row r="227" spans="1:5">
      <c r="A227" s="23">
        <v>2568</v>
      </c>
      <c r="B227" s="24" t="s">
        <v>47</v>
      </c>
      <c r="C227" s="24" t="s">
        <v>106</v>
      </c>
      <c r="D227" s="24" t="s">
        <v>48</v>
      </c>
      <c r="E227" s="24" t="s">
        <v>21</v>
      </c>
    </row>
    <row r="228" spans="1:5">
      <c r="A228" s="23">
        <v>2572</v>
      </c>
      <c r="B228" s="24" t="s">
        <v>26</v>
      </c>
      <c r="C228" s="24" t="s">
        <v>117</v>
      </c>
      <c r="D228" s="24" t="s">
        <v>124</v>
      </c>
      <c r="E228" s="24" t="s">
        <v>41</v>
      </c>
    </row>
    <row r="229" spans="1:5">
      <c r="A229" s="23">
        <v>2575</v>
      </c>
      <c r="B229" s="24" t="s">
        <v>26</v>
      </c>
      <c r="C229" s="24" t="s">
        <v>106</v>
      </c>
      <c r="D229" s="24" t="s">
        <v>125</v>
      </c>
      <c r="E229" s="24" t="s">
        <v>41</v>
      </c>
    </row>
    <row r="230" spans="1:5">
      <c r="A230" s="23">
        <v>2576</v>
      </c>
      <c r="B230" s="24" t="s">
        <v>26</v>
      </c>
      <c r="C230" s="24" t="s">
        <v>117</v>
      </c>
      <c r="D230" s="24" t="s">
        <v>69</v>
      </c>
      <c r="E230" s="24" t="s">
        <v>41</v>
      </c>
    </row>
    <row r="231" spans="1:5">
      <c r="A231" s="23">
        <v>2581</v>
      </c>
      <c r="B231" s="24" t="s">
        <v>26</v>
      </c>
      <c r="C231" s="24" t="s">
        <v>61</v>
      </c>
      <c r="D231" s="24" t="s">
        <v>118</v>
      </c>
      <c r="E231" s="24" t="s">
        <v>41</v>
      </c>
    </row>
    <row r="232" spans="1:5">
      <c r="A232" s="23">
        <v>2586</v>
      </c>
      <c r="B232" s="24" t="s">
        <v>47</v>
      </c>
      <c r="C232" s="24" t="s">
        <v>88</v>
      </c>
      <c r="D232" s="24" t="s">
        <v>48</v>
      </c>
      <c r="E232" s="24" t="s">
        <v>21</v>
      </c>
    </row>
    <row r="233" spans="1:5">
      <c r="A233" s="23">
        <v>2587</v>
      </c>
      <c r="B233" s="24" t="s">
        <v>47</v>
      </c>
      <c r="C233" s="24" t="s">
        <v>74</v>
      </c>
      <c r="D233" s="24" t="s">
        <v>48</v>
      </c>
      <c r="E233" s="24" t="s">
        <v>21</v>
      </c>
    </row>
    <row r="234" spans="1:5">
      <c r="A234" s="23">
        <v>2588</v>
      </c>
      <c r="B234" s="24" t="s">
        <v>47</v>
      </c>
      <c r="C234" s="24" t="s">
        <v>106</v>
      </c>
      <c r="D234" s="24" t="s">
        <v>48</v>
      </c>
      <c r="E234" s="24" t="s">
        <v>21</v>
      </c>
    </row>
    <row r="235" spans="1:5">
      <c r="A235" s="23">
        <v>2589</v>
      </c>
      <c r="B235" s="24" t="s">
        <v>26</v>
      </c>
      <c r="C235" s="24" t="s">
        <v>74</v>
      </c>
      <c r="D235" s="24" t="s">
        <v>114</v>
      </c>
      <c r="E235" s="24" t="s">
        <v>41</v>
      </c>
    </row>
    <row r="236" spans="1:5">
      <c r="A236" s="23">
        <v>2592</v>
      </c>
      <c r="B236" s="24" t="s">
        <v>47</v>
      </c>
      <c r="C236" s="24" t="s">
        <v>74</v>
      </c>
      <c r="D236" s="24" t="s">
        <v>48</v>
      </c>
      <c r="E236" s="24" t="s">
        <v>21</v>
      </c>
    </row>
    <row r="237" spans="1:5">
      <c r="A237" s="23">
        <v>2593</v>
      </c>
      <c r="B237" s="24" t="s">
        <v>26</v>
      </c>
      <c r="C237" s="24" t="s">
        <v>106</v>
      </c>
      <c r="D237" s="24" t="s">
        <v>81</v>
      </c>
      <c r="E237" s="24" t="s">
        <v>41</v>
      </c>
    </row>
    <row r="238" spans="1:5">
      <c r="A238" s="23">
        <v>2597</v>
      </c>
      <c r="B238" s="24" t="s">
        <v>47</v>
      </c>
      <c r="C238" s="24" t="s">
        <v>45</v>
      </c>
      <c r="D238" s="24" t="s">
        <v>48</v>
      </c>
      <c r="E238" s="24" t="s">
        <v>21</v>
      </c>
    </row>
    <row r="239" spans="1:5">
      <c r="A239" s="23">
        <v>2598</v>
      </c>
      <c r="B239" s="24" t="s">
        <v>47</v>
      </c>
      <c r="C239" s="24" t="s">
        <v>106</v>
      </c>
      <c r="D239" s="24" t="s">
        <v>48</v>
      </c>
      <c r="E239" s="24" t="s">
        <v>21</v>
      </c>
    </row>
    <row r="240" spans="1:5">
      <c r="A240" s="23">
        <v>2600</v>
      </c>
      <c r="B240" s="24" t="s">
        <v>47</v>
      </c>
      <c r="C240" s="24" t="s">
        <v>45</v>
      </c>
      <c r="D240" s="24" t="s">
        <v>48</v>
      </c>
      <c r="E240" s="24" t="s">
        <v>21</v>
      </c>
    </row>
    <row r="241" spans="1:5">
      <c r="A241" s="23">
        <v>2601</v>
      </c>
      <c r="B241" s="24" t="s">
        <v>26</v>
      </c>
      <c r="C241" s="24" t="s">
        <v>117</v>
      </c>
      <c r="D241" s="24" t="s">
        <v>76</v>
      </c>
      <c r="E241" s="24" t="s">
        <v>41</v>
      </c>
    </row>
    <row r="242" spans="1:5">
      <c r="A242" s="23">
        <v>2612</v>
      </c>
      <c r="B242" s="24" t="s">
        <v>47</v>
      </c>
      <c r="C242" s="24" t="s">
        <v>117</v>
      </c>
      <c r="D242" s="24" t="s">
        <v>48</v>
      </c>
      <c r="E242" s="24" t="s">
        <v>21</v>
      </c>
    </row>
    <row r="243" spans="1:5">
      <c r="A243" s="23">
        <v>2615</v>
      </c>
      <c r="B243" s="24" t="s">
        <v>26</v>
      </c>
      <c r="C243" s="24" t="s">
        <v>117</v>
      </c>
      <c r="D243" s="24" t="s">
        <v>42</v>
      </c>
      <c r="E243" s="24" t="s">
        <v>41</v>
      </c>
    </row>
    <row r="244" spans="1:5">
      <c r="A244" s="23">
        <v>2616</v>
      </c>
      <c r="B244" s="24" t="s">
        <v>26</v>
      </c>
      <c r="C244" s="24" t="s">
        <v>117</v>
      </c>
      <c r="D244" s="24" t="s">
        <v>126</v>
      </c>
      <c r="E244" s="24" t="s">
        <v>41</v>
      </c>
    </row>
    <row r="245" spans="1:5">
      <c r="A245" s="23">
        <v>2618</v>
      </c>
      <c r="B245" s="24" t="s">
        <v>26</v>
      </c>
      <c r="C245" s="24" t="s">
        <v>127</v>
      </c>
      <c r="D245" s="24" t="s">
        <v>126</v>
      </c>
      <c r="E245" s="24" t="s">
        <v>41</v>
      </c>
    </row>
    <row r="246" spans="1:5">
      <c r="A246" s="23">
        <v>2620</v>
      </c>
      <c r="B246" s="24" t="s">
        <v>26</v>
      </c>
      <c r="C246" s="24" t="s">
        <v>127</v>
      </c>
      <c r="D246" s="24" t="s">
        <v>128</v>
      </c>
      <c r="E246" s="24" t="s">
        <v>41</v>
      </c>
    </row>
    <row r="247" spans="1:5">
      <c r="A247" s="23">
        <v>2621</v>
      </c>
      <c r="B247" s="24" t="s">
        <v>26</v>
      </c>
      <c r="C247" s="24" t="s">
        <v>106</v>
      </c>
      <c r="D247" s="24" t="s">
        <v>67</v>
      </c>
      <c r="E247" s="24" t="s">
        <v>41</v>
      </c>
    </row>
    <row r="248" spans="1:5">
      <c r="A248" s="23">
        <v>2623</v>
      </c>
      <c r="B248" s="24" t="s">
        <v>26</v>
      </c>
      <c r="C248" s="24" t="s">
        <v>117</v>
      </c>
      <c r="D248" s="24" t="s">
        <v>96</v>
      </c>
      <c r="E248" s="24" t="s">
        <v>41</v>
      </c>
    </row>
    <row r="249" spans="1:5">
      <c r="A249" s="23">
        <v>2624</v>
      </c>
      <c r="B249" s="24" t="s">
        <v>26</v>
      </c>
      <c r="C249" s="24" t="s">
        <v>117</v>
      </c>
      <c r="D249" s="24" t="s">
        <v>93</v>
      </c>
      <c r="E249" s="24" t="s">
        <v>41</v>
      </c>
    </row>
    <row r="250" spans="1:5">
      <c r="A250" s="23">
        <v>2625</v>
      </c>
      <c r="B250" s="24" t="s">
        <v>26</v>
      </c>
      <c r="C250" s="24" t="s">
        <v>117</v>
      </c>
      <c r="D250" s="24" t="s">
        <v>81</v>
      </c>
      <c r="E250" s="24" t="s">
        <v>41</v>
      </c>
    </row>
    <row r="251" spans="1:5">
      <c r="A251" s="23">
        <v>2626</v>
      </c>
      <c r="B251" s="24" t="s">
        <v>26</v>
      </c>
      <c r="C251" s="24" t="s">
        <v>117</v>
      </c>
      <c r="D251" s="24" t="s">
        <v>42</v>
      </c>
      <c r="E251" s="24" t="s">
        <v>41</v>
      </c>
    </row>
    <row r="252" spans="1:5">
      <c r="A252" s="23">
        <v>2628</v>
      </c>
      <c r="B252" s="24" t="s">
        <v>26</v>
      </c>
      <c r="C252" s="24" t="s">
        <v>117</v>
      </c>
      <c r="D252" s="24" t="s">
        <v>90</v>
      </c>
      <c r="E252" s="24" t="s">
        <v>41</v>
      </c>
    </row>
    <row r="253" spans="1:5">
      <c r="A253" s="23">
        <v>2630</v>
      </c>
      <c r="B253" s="24" t="s">
        <v>26</v>
      </c>
      <c r="C253" s="24" t="s">
        <v>88</v>
      </c>
      <c r="D253" s="24" t="s">
        <v>129</v>
      </c>
      <c r="E253" s="24" t="s">
        <v>41</v>
      </c>
    </row>
    <row r="254" spans="1:5">
      <c r="A254" s="23">
        <v>2634</v>
      </c>
      <c r="B254" s="24" t="s">
        <v>26</v>
      </c>
      <c r="C254" s="24" t="s">
        <v>117</v>
      </c>
      <c r="D254" s="24" t="s">
        <v>90</v>
      </c>
      <c r="E254" s="24" t="s">
        <v>41</v>
      </c>
    </row>
    <row r="255" spans="1:5">
      <c r="A255" s="23">
        <v>2635</v>
      </c>
      <c r="B255" s="24" t="s">
        <v>26</v>
      </c>
      <c r="C255" s="24" t="s">
        <v>88</v>
      </c>
      <c r="D255" s="24" t="s">
        <v>90</v>
      </c>
      <c r="E255" s="24" t="s">
        <v>41</v>
      </c>
    </row>
    <row r="256" spans="1:5">
      <c r="A256" s="23">
        <v>2636</v>
      </c>
      <c r="B256" s="24" t="s">
        <v>26</v>
      </c>
      <c r="C256" s="24" t="s">
        <v>82</v>
      </c>
      <c r="D256" s="24" t="s">
        <v>78</v>
      </c>
      <c r="E256" s="24" t="s">
        <v>41</v>
      </c>
    </row>
    <row r="257" spans="1:5">
      <c r="A257" s="23">
        <v>2637</v>
      </c>
      <c r="B257" s="24" t="s">
        <v>47</v>
      </c>
      <c r="C257" s="24" t="s">
        <v>88</v>
      </c>
      <c r="D257" s="24" t="s">
        <v>48</v>
      </c>
      <c r="E257" s="24" t="s">
        <v>21</v>
      </c>
    </row>
    <row r="258" spans="1:5">
      <c r="A258" s="23">
        <v>2638</v>
      </c>
      <c r="B258" s="24" t="s">
        <v>26</v>
      </c>
      <c r="C258" s="24" t="s">
        <v>106</v>
      </c>
      <c r="D258" s="24" t="s">
        <v>63</v>
      </c>
      <c r="E258" s="24" t="s">
        <v>41</v>
      </c>
    </row>
    <row r="259" spans="1:5">
      <c r="A259" s="23">
        <v>2640</v>
      </c>
      <c r="B259" s="24" t="s">
        <v>26</v>
      </c>
      <c r="C259" s="24" t="s">
        <v>106</v>
      </c>
      <c r="D259" s="24" t="s">
        <v>52</v>
      </c>
      <c r="E259" s="24" t="s">
        <v>41</v>
      </c>
    </row>
    <row r="260" spans="1:5">
      <c r="A260" s="23">
        <v>2642</v>
      </c>
      <c r="B260" s="24" t="s">
        <v>70</v>
      </c>
      <c r="C260" s="24" t="s">
        <v>106</v>
      </c>
      <c r="D260" s="24" t="s">
        <v>75</v>
      </c>
      <c r="E260" s="24" t="s">
        <v>130</v>
      </c>
    </row>
    <row r="261" spans="1:5">
      <c r="A261" s="23">
        <v>2643</v>
      </c>
      <c r="B261" s="24" t="s">
        <v>26</v>
      </c>
      <c r="C261" s="24" t="s">
        <v>88</v>
      </c>
      <c r="D261" s="24" t="s">
        <v>66</v>
      </c>
      <c r="E261" s="24" t="s">
        <v>21</v>
      </c>
    </row>
    <row r="262" spans="1:5">
      <c r="A262" s="23">
        <v>2645</v>
      </c>
      <c r="B262" s="24" t="s">
        <v>26</v>
      </c>
      <c r="C262" s="24" t="s">
        <v>106</v>
      </c>
      <c r="D262" s="24" t="s">
        <v>131</v>
      </c>
      <c r="E262" s="24" t="s">
        <v>41</v>
      </c>
    </row>
    <row r="263" spans="1:5">
      <c r="A263" s="23">
        <v>2646</v>
      </c>
      <c r="B263" s="24" t="s">
        <v>26</v>
      </c>
      <c r="C263" s="24" t="s">
        <v>117</v>
      </c>
      <c r="D263" s="24" t="s">
        <v>55</v>
      </c>
      <c r="E263" s="24" t="s">
        <v>41</v>
      </c>
    </row>
    <row r="264" spans="1:5">
      <c r="A264" s="23">
        <v>2649</v>
      </c>
      <c r="B264" s="24" t="s">
        <v>26</v>
      </c>
      <c r="C264" s="24" t="s">
        <v>106</v>
      </c>
      <c r="D264" s="24" t="s">
        <v>55</v>
      </c>
      <c r="E264" s="24" t="s">
        <v>41</v>
      </c>
    </row>
    <row r="265" spans="1:5">
      <c r="A265" s="23">
        <v>2650</v>
      </c>
      <c r="B265" s="24" t="s">
        <v>26</v>
      </c>
      <c r="C265" s="24" t="s">
        <v>61</v>
      </c>
      <c r="D265" s="24" t="s">
        <v>81</v>
      </c>
      <c r="E265" s="24" t="s">
        <v>41</v>
      </c>
    </row>
    <row r="266" spans="1:5">
      <c r="A266" s="23">
        <v>2651</v>
      </c>
      <c r="B266" s="24" t="s">
        <v>26</v>
      </c>
      <c r="C266" s="24" t="s">
        <v>106</v>
      </c>
      <c r="D266" s="24" t="s">
        <v>49</v>
      </c>
      <c r="E266" s="24" t="s">
        <v>41</v>
      </c>
    </row>
    <row r="267" spans="1:5">
      <c r="A267" s="23">
        <v>2654</v>
      </c>
      <c r="B267" s="24" t="s">
        <v>26</v>
      </c>
      <c r="C267" s="24" t="s">
        <v>117</v>
      </c>
      <c r="D267" s="24" t="s">
        <v>132</v>
      </c>
      <c r="E267" s="24" t="s">
        <v>41</v>
      </c>
    </row>
    <row r="268" spans="1:5">
      <c r="A268" s="23">
        <v>2655</v>
      </c>
      <c r="B268" s="24" t="s">
        <v>26</v>
      </c>
      <c r="C268" s="24" t="s">
        <v>117</v>
      </c>
      <c r="D268" s="24" t="s">
        <v>73</v>
      </c>
      <c r="E268" s="24" t="s">
        <v>41</v>
      </c>
    </row>
    <row r="269" spans="1:5">
      <c r="A269" s="23">
        <v>2657</v>
      </c>
      <c r="B269" s="24" t="s">
        <v>47</v>
      </c>
      <c r="C269" s="24" t="s">
        <v>117</v>
      </c>
      <c r="D269" s="24" t="s">
        <v>48</v>
      </c>
      <c r="E269" s="24" t="s">
        <v>21</v>
      </c>
    </row>
    <row r="270" spans="1:5">
      <c r="A270" s="23">
        <v>2659</v>
      </c>
      <c r="B270" s="24" t="s">
        <v>26</v>
      </c>
      <c r="C270" s="24" t="s">
        <v>117</v>
      </c>
      <c r="D270" s="24" t="s">
        <v>102</v>
      </c>
      <c r="E270" s="24" t="s">
        <v>41</v>
      </c>
    </row>
    <row r="271" spans="1:5">
      <c r="A271" s="23">
        <v>2660</v>
      </c>
      <c r="B271" s="24" t="s">
        <v>26</v>
      </c>
      <c r="C271" s="24" t="s">
        <v>127</v>
      </c>
      <c r="D271" s="24" t="s">
        <v>123</v>
      </c>
      <c r="E271" s="24" t="s">
        <v>41</v>
      </c>
    </row>
    <row r="272" spans="1:5">
      <c r="A272" s="23">
        <v>2661</v>
      </c>
      <c r="B272" s="24" t="s">
        <v>26</v>
      </c>
      <c r="C272" s="24" t="s">
        <v>82</v>
      </c>
      <c r="D272" s="24" t="s">
        <v>55</v>
      </c>
      <c r="E272" s="24" t="s">
        <v>41</v>
      </c>
    </row>
    <row r="273" spans="1:5">
      <c r="A273" s="23">
        <v>2662</v>
      </c>
      <c r="B273" s="24" t="s">
        <v>26</v>
      </c>
      <c r="C273" s="24" t="s">
        <v>106</v>
      </c>
      <c r="D273" s="24" t="s">
        <v>68</v>
      </c>
      <c r="E273" s="24" t="s">
        <v>41</v>
      </c>
    </row>
    <row r="274" spans="1:5">
      <c r="A274" s="23">
        <v>2663</v>
      </c>
      <c r="B274" s="24" t="s">
        <v>26</v>
      </c>
      <c r="C274" s="24" t="s">
        <v>117</v>
      </c>
      <c r="D274" s="24" t="s">
        <v>103</v>
      </c>
      <c r="E274" s="24" t="s">
        <v>41</v>
      </c>
    </row>
    <row r="275" spans="1:5">
      <c r="A275" s="23">
        <v>2664</v>
      </c>
      <c r="B275" s="24" t="s">
        <v>26</v>
      </c>
      <c r="C275" s="24" t="s">
        <v>82</v>
      </c>
      <c r="D275" s="24" t="s">
        <v>65</v>
      </c>
      <c r="E275" s="24" t="s">
        <v>41</v>
      </c>
    </row>
    <row r="276" spans="1:5">
      <c r="A276" s="23">
        <v>2665</v>
      </c>
      <c r="B276" s="24" t="s">
        <v>26</v>
      </c>
      <c r="C276" s="24" t="s">
        <v>117</v>
      </c>
      <c r="D276" s="24" t="s">
        <v>53</v>
      </c>
      <c r="E276" s="24" t="s">
        <v>21</v>
      </c>
    </row>
    <row r="277" spans="1:5">
      <c r="A277" s="23">
        <v>2666</v>
      </c>
      <c r="B277" s="24" t="s">
        <v>26</v>
      </c>
      <c r="C277" s="24" t="s">
        <v>117</v>
      </c>
      <c r="D277" s="24" t="s">
        <v>103</v>
      </c>
      <c r="E277" s="24" t="s">
        <v>41</v>
      </c>
    </row>
    <row r="278" spans="1:5">
      <c r="A278" s="23">
        <v>2668</v>
      </c>
      <c r="B278" s="24" t="s">
        <v>26</v>
      </c>
      <c r="C278" s="24" t="s">
        <v>82</v>
      </c>
      <c r="D278" s="24" t="s">
        <v>76</v>
      </c>
      <c r="E278" s="24" t="s">
        <v>41</v>
      </c>
    </row>
    <row r="279" spans="1:5">
      <c r="A279" s="23">
        <v>2671</v>
      </c>
      <c r="B279" s="24" t="s">
        <v>26</v>
      </c>
      <c r="C279" s="24" t="s">
        <v>127</v>
      </c>
      <c r="D279" s="24" t="s">
        <v>49</v>
      </c>
      <c r="E279" s="24" t="s">
        <v>41</v>
      </c>
    </row>
    <row r="280" spans="1:5">
      <c r="A280" s="23">
        <v>2672</v>
      </c>
      <c r="B280" s="24" t="s">
        <v>26</v>
      </c>
      <c r="C280" s="24" t="s">
        <v>117</v>
      </c>
      <c r="D280" s="24" t="s">
        <v>133</v>
      </c>
      <c r="E280" s="24" t="s">
        <v>41</v>
      </c>
    </row>
    <row r="281" spans="1:5">
      <c r="A281" s="23">
        <v>2673</v>
      </c>
      <c r="B281" s="24" t="s">
        <v>26</v>
      </c>
      <c r="C281" s="24" t="s">
        <v>117</v>
      </c>
      <c r="D281" s="24" t="s">
        <v>43</v>
      </c>
      <c r="E281" s="24" t="s">
        <v>41</v>
      </c>
    </row>
    <row r="282" spans="1:5">
      <c r="A282" s="23">
        <v>2674</v>
      </c>
      <c r="B282" s="24" t="s">
        <v>26</v>
      </c>
      <c r="C282" s="24" t="s">
        <v>106</v>
      </c>
      <c r="D282" s="24" t="s">
        <v>65</v>
      </c>
      <c r="E282" s="24" t="s">
        <v>41</v>
      </c>
    </row>
    <row r="283" spans="1:5">
      <c r="A283" s="23">
        <v>2675</v>
      </c>
      <c r="B283" s="24" t="s">
        <v>47</v>
      </c>
      <c r="C283" s="24" t="s">
        <v>127</v>
      </c>
      <c r="D283" s="24" t="s">
        <v>48</v>
      </c>
      <c r="E283" s="24" t="s">
        <v>21</v>
      </c>
    </row>
    <row r="284" spans="1:5">
      <c r="A284" s="23">
        <v>2676</v>
      </c>
      <c r="B284" s="24" t="s">
        <v>26</v>
      </c>
      <c r="C284" s="24" t="s">
        <v>88</v>
      </c>
      <c r="D284" s="24" t="s">
        <v>54</v>
      </c>
      <c r="E284" s="24" t="s">
        <v>41</v>
      </c>
    </row>
    <row r="285" spans="1:5">
      <c r="A285" s="23">
        <v>2678</v>
      </c>
      <c r="B285" s="24" t="s">
        <v>26</v>
      </c>
      <c r="C285" s="24" t="s">
        <v>117</v>
      </c>
      <c r="D285" s="24" t="s">
        <v>134</v>
      </c>
      <c r="E285" s="24" t="s">
        <v>41</v>
      </c>
    </row>
    <row r="286" spans="1:5">
      <c r="A286" s="23">
        <v>2679</v>
      </c>
      <c r="B286" s="24" t="s">
        <v>26</v>
      </c>
      <c r="C286" s="24" t="s">
        <v>45</v>
      </c>
      <c r="D286" s="24" t="s">
        <v>66</v>
      </c>
      <c r="E286" s="24" t="s">
        <v>21</v>
      </c>
    </row>
    <row r="287" spans="1:5">
      <c r="A287" s="23">
        <v>2680</v>
      </c>
      <c r="B287" s="24" t="s">
        <v>26</v>
      </c>
      <c r="C287" s="24" t="s">
        <v>127</v>
      </c>
      <c r="D287" s="24" t="s">
        <v>93</v>
      </c>
      <c r="E287" s="24" t="s">
        <v>41</v>
      </c>
    </row>
    <row r="288" spans="1:5">
      <c r="A288" s="23">
        <v>2682</v>
      </c>
      <c r="B288" s="24" t="s">
        <v>26</v>
      </c>
      <c r="C288" s="24" t="s">
        <v>117</v>
      </c>
      <c r="D288" s="24" t="s">
        <v>135</v>
      </c>
      <c r="E288" s="24" t="s">
        <v>41</v>
      </c>
    </row>
    <row r="289" spans="1:5">
      <c r="A289" s="23">
        <v>2683</v>
      </c>
      <c r="B289" s="24" t="s">
        <v>47</v>
      </c>
      <c r="C289" s="24" t="s">
        <v>117</v>
      </c>
      <c r="D289" s="24" t="s">
        <v>48</v>
      </c>
      <c r="E289" s="24" t="s">
        <v>21</v>
      </c>
    </row>
    <row r="290" spans="1:5">
      <c r="A290" s="23">
        <v>2684</v>
      </c>
      <c r="B290" s="24" t="s">
        <v>26</v>
      </c>
      <c r="C290" s="24" t="s">
        <v>127</v>
      </c>
      <c r="D290" s="24" t="s">
        <v>46</v>
      </c>
      <c r="E290" s="24" t="s">
        <v>41</v>
      </c>
    </row>
    <row r="291" spans="1:5">
      <c r="A291" s="23">
        <v>2686</v>
      </c>
      <c r="B291" s="24" t="s">
        <v>26</v>
      </c>
      <c r="C291" s="24" t="s">
        <v>117</v>
      </c>
      <c r="D291" s="24" t="s">
        <v>53</v>
      </c>
      <c r="E291" s="24" t="s">
        <v>41</v>
      </c>
    </row>
    <row r="292" spans="1:5">
      <c r="A292" s="23">
        <v>2687</v>
      </c>
      <c r="B292" s="24" t="s">
        <v>47</v>
      </c>
      <c r="C292" s="24" t="s">
        <v>117</v>
      </c>
      <c r="D292" s="24" t="s">
        <v>48</v>
      </c>
      <c r="E292" s="24" t="s">
        <v>21</v>
      </c>
    </row>
    <row r="293" spans="1:5">
      <c r="A293" s="23">
        <v>2688</v>
      </c>
      <c r="B293" s="24" t="s">
        <v>47</v>
      </c>
      <c r="C293" s="24" t="s">
        <v>117</v>
      </c>
      <c r="D293" s="24" t="s">
        <v>48</v>
      </c>
      <c r="E293" s="24" t="s">
        <v>21</v>
      </c>
    </row>
    <row r="294" spans="1:5">
      <c r="A294" s="23">
        <v>2690</v>
      </c>
      <c r="B294" s="24" t="s">
        <v>26</v>
      </c>
      <c r="C294" s="24" t="s">
        <v>136</v>
      </c>
      <c r="D294" s="24" t="s">
        <v>49</v>
      </c>
      <c r="E294" s="24" t="s">
        <v>41</v>
      </c>
    </row>
    <row r="295" spans="1:5">
      <c r="A295" s="23">
        <v>2691</v>
      </c>
      <c r="B295" s="24" t="s">
        <v>26</v>
      </c>
      <c r="C295" s="24" t="s">
        <v>127</v>
      </c>
      <c r="D295" s="24" t="s">
        <v>137</v>
      </c>
      <c r="E295" s="24" t="s">
        <v>41</v>
      </c>
    </row>
    <row r="296" spans="1:5">
      <c r="A296" s="23">
        <v>2692</v>
      </c>
      <c r="B296" s="24" t="s">
        <v>26</v>
      </c>
      <c r="C296" s="24" t="s">
        <v>127</v>
      </c>
      <c r="D296" s="24" t="s">
        <v>62</v>
      </c>
      <c r="E296" s="24" t="s">
        <v>21</v>
      </c>
    </row>
    <row r="297" spans="1:5">
      <c r="A297" s="23">
        <v>2694</v>
      </c>
      <c r="B297" s="24" t="s">
        <v>26</v>
      </c>
      <c r="C297" s="24" t="s">
        <v>136</v>
      </c>
      <c r="D297" s="24" t="s">
        <v>113</v>
      </c>
      <c r="E297" s="24" t="s">
        <v>41</v>
      </c>
    </row>
    <row r="298" spans="1:5">
      <c r="A298" s="23">
        <v>2696</v>
      </c>
      <c r="B298" s="24" t="s">
        <v>26</v>
      </c>
      <c r="C298" s="24" t="s">
        <v>127</v>
      </c>
      <c r="D298" s="24" t="s">
        <v>102</v>
      </c>
      <c r="E298" s="24" t="s">
        <v>41</v>
      </c>
    </row>
    <row r="299" spans="1:5">
      <c r="A299" s="23">
        <v>2698</v>
      </c>
      <c r="B299" s="24" t="s">
        <v>26</v>
      </c>
      <c r="C299" s="24" t="s">
        <v>127</v>
      </c>
      <c r="D299" s="24" t="s">
        <v>78</v>
      </c>
      <c r="E299" s="24" t="s">
        <v>41</v>
      </c>
    </row>
    <row r="300" spans="1:5">
      <c r="A300" s="23">
        <v>2699</v>
      </c>
      <c r="B300" s="24" t="s">
        <v>26</v>
      </c>
      <c r="C300" s="24" t="s">
        <v>117</v>
      </c>
      <c r="D300" s="24" t="s">
        <v>43</v>
      </c>
      <c r="E300" s="24" t="s">
        <v>41</v>
      </c>
    </row>
    <row r="301" spans="1:5">
      <c r="A301" s="23">
        <v>2700</v>
      </c>
      <c r="B301" s="24" t="s">
        <v>27</v>
      </c>
      <c r="C301" s="24" t="s">
        <v>127</v>
      </c>
      <c r="D301" s="24" t="s">
        <v>40</v>
      </c>
      <c r="E301" s="24" t="s">
        <v>41</v>
      </c>
    </row>
    <row r="302" spans="1:5">
      <c r="A302" s="23">
        <v>2701</v>
      </c>
      <c r="B302" s="24" t="s">
        <v>47</v>
      </c>
      <c r="C302" s="24" t="s">
        <v>136</v>
      </c>
      <c r="D302" s="24" t="s">
        <v>48</v>
      </c>
      <c r="E302" s="24" t="s">
        <v>21</v>
      </c>
    </row>
    <row r="303" spans="1:5">
      <c r="A303" s="23">
        <v>2702</v>
      </c>
      <c r="B303" s="24" t="s">
        <v>26</v>
      </c>
      <c r="C303" s="24" t="s">
        <v>106</v>
      </c>
      <c r="D303" s="24" t="s">
        <v>62</v>
      </c>
      <c r="E303" s="24" t="s">
        <v>41</v>
      </c>
    </row>
    <row r="304" spans="1:5">
      <c r="A304" s="23">
        <v>2703</v>
      </c>
      <c r="B304" s="24" t="s">
        <v>26</v>
      </c>
      <c r="C304" s="24" t="s">
        <v>106</v>
      </c>
      <c r="D304" s="24" t="s">
        <v>129</v>
      </c>
      <c r="E304" s="24" t="s">
        <v>41</v>
      </c>
    </row>
    <row r="305" spans="1:5">
      <c r="A305" s="23">
        <v>2704</v>
      </c>
      <c r="B305" s="24" t="s">
        <v>26</v>
      </c>
      <c r="C305" s="24" t="s">
        <v>117</v>
      </c>
      <c r="D305" s="24" t="s">
        <v>119</v>
      </c>
      <c r="E305" s="24" t="s">
        <v>41</v>
      </c>
    </row>
    <row r="306" spans="1:5">
      <c r="A306" s="23">
        <v>2705</v>
      </c>
      <c r="B306" s="24" t="s">
        <v>26</v>
      </c>
      <c r="C306" s="24" t="s">
        <v>127</v>
      </c>
      <c r="D306" s="24" t="s">
        <v>78</v>
      </c>
      <c r="E306" s="24" t="s">
        <v>41</v>
      </c>
    </row>
    <row r="307" spans="1:5">
      <c r="A307" s="23">
        <v>2706</v>
      </c>
      <c r="B307" s="24" t="s">
        <v>26</v>
      </c>
      <c r="C307" s="24" t="s">
        <v>136</v>
      </c>
      <c r="D307" s="24" t="s">
        <v>138</v>
      </c>
      <c r="E307" s="24" t="s">
        <v>41</v>
      </c>
    </row>
    <row r="308" spans="1:5">
      <c r="A308" s="23">
        <v>2707</v>
      </c>
      <c r="B308" s="24" t="s">
        <v>26</v>
      </c>
      <c r="C308" s="24" t="s">
        <v>127</v>
      </c>
      <c r="D308" s="24" t="s">
        <v>46</v>
      </c>
      <c r="E308" s="24" t="s">
        <v>41</v>
      </c>
    </row>
    <row r="309" spans="1:5">
      <c r="A309" s="23">
        <v>2708</v>
      </c>
      <c r="B309" s="24" t="s">
        <v>26</v>
      </c>
      <c r="C309" s="24" t="s">
        <v>45</v>
      </c>
      <c r="D309" s="24" t="s">
        <v>44</v>
      </c>
      <c r="E309" s="24" t="s">
        <v>41</v>
      </c>
    </row>
    <row r="310" spans="1:5">
      <c r="A310" s="23">
        <v>2709</v>
      </c>
      <c r="B310" s="24" t="s">
        <v>26</v>
      </c>
      <c r="C310" s="24" t="s">
        <v>127</v>
      </c>
      <c r="D310" s="24" t="s">
        <v>75</v>
      </c>
      <c r="E310" s="24" t="s">
        <v>41</v>
      </c>
    </row>
    <row r="311" spans="1:5">
      <c r="A311" s="23">
        <v>2710</v>
      </c>
      <c r="B311" s="24" t="s">
        <v>26</v>
      </c>
      <c r="C311" s="24" t="s">
        <v>127</v>
      </c>
      <c r="D311" s="24" t="s">
        <v>95</v>
      </c>
      <c r="E311" s="24" t="s">
        <v>41</v>
      </c>
    </row>
    <row r="312" spans="1:5">
      <c r="A312" s="23">
        <v>2711</v>
      </c>
      <c r="B312" s="24" t="s">
        <v>26</v>
      </c>
      <c r="C312" s="24" t="s">
        <v>82</v>
      </c>
      <c r="D312" s="24" t="s">
        <v>95</v>
      </c>
      <c r="E312" s="24" t="s">
        <v>41</v>
      </c>
    </row>
    <row r="313" spans="1:5">
      <c r="A313" s="23">
        <v>2712</v>
      </c>
      <c r="B313" s="24" t="s">
        <v>26</v>
      </c>
      <c r="C313" s="24" t="s">
        <v>106</v>
      </c>
      <c r="D313" s="24" t="s">
        <v>95</v>
      </c>
      <c r="E313" s="24" t="s">
        <v>41</v>
      </c>
    </row>
    <row r="314" spans="1:5">
      <c r="A314" s="23">
        <v>2715</v>
      </c>
      <c r="B314" s="24" t="s">
        <v>26</v>
      </c>
      <c r="C314" s="24" t="s">
        <v>127</v>
      </c>
      <c r="D314" s="24" t="s">
        <v>78</v>
      </c>
      <c r="E314" s="24" t="s">
        <v>41</v>
      </c>
    </row>
    <row r="315" spans="1:5">
      <c r="A315" s="23">
        <v>2718</v>
      </c>
      <c r="B315" s="24" t="s">
        <v>26</v>
      </c>
      <c r="C315" s="24" t="s">
        <v>117</v>
      </c>
      <c r="D315" s="24" t="s">
        <v>59</v>
      </c>
      <c r="E315" s="24" t="s">
        <v>41</v>
      </c>
    </row>
    <row r="316" spans="1:5">
      <c r="A316" s="23">
        <v>2719</v>
      </c>
      <c r="B316" s="24" t="s">
        <v>47</v>
      </c>
      <c r="C316" s="24" t="s">
        <v>106</v>
      </c>
      <c r="D316" s="24" t="s">
        <v>48</v>
      </c>
      <c r="E316" s="24" t="s">
        <v>21</v>
      </c>
    </row>
    <row r="317" spans="1:5">
      <c r="A317" s="23">
        <v>2721</v>
      </c>
      <c r="B317" s="24" t="s">
        <v>26</v>
      </c>
      <c r="C317" s="24" t="s">
        <v>136</v>
      </c>
      <c r="D317" s="24" t="s">
        <v>126</v>
      </c>
      <c r="E317" s="24" t="s">
        <v>41</v>
      </c>
    </row>
    <row r="318" spans="1:5">
      <c r="A318" s="23">
        <v>2722</v>
      </c>
      <c r="B318" s="24" t="s">
        <v>26</v>
      </c>
      <c r="C318" s="24" t="s">
        <v>136</v>
      </c>
      <c r="D318" s="24" t="s">
        <v>78</v>
      </c>
      <c r="E318" s="24" t="s">
        <v>41</v>
      </c>
    </row>
    <row r="319" spans="1:5">
      <c r="A319" s="23">
        <v>2723</v>
      </c>
      <c r="B319" s="24" t="s">
        <v>26</v>
      </c>
      <c r="C319" s="24" t="s">
        <v>136</v>
      </c>
      <c r="D319" s="24" t="s">
        <v>95</v>
      </c>
      <c r="E319" s="24" t="s">
        <v>41</v>
      </c>
    </row>
    <row r="320" spans="1:5">
      <c r="A320" s="23">
        <v>2724</v>
      </c>
      <c r="B320" s="24" t="s">
        <v>26</v>
      </c>
      <c r="C320" s="24" t="s">
        <v>136</v>
      </c>
      <c r="D320" s="24" t="s">
        <v>95</v>
      </c>
      <c r="E320" s="24" t="s">
        <v>41</v>
      </c>
    </row>
    <row r="321" spans="1:5">
      <c r="A321" s="23">
        <v>2725</v>
      </c>
      <c r="B321" s="24" t="s">
        <v>26</v>
      </c>
      <c r="C321" s="24" t="s">
        <v>106</v>
      </c>
      <c r="D321" s="24" t="s">
        <v>53</v>
      </c>
      <c r="E321" s="24" t="s">
        <v>21</v>
      </c>
    </row>
    <row r="322" spans="1:5">
      <c r="A322" s="23">
        <v>2726</v>
      </c>
      <c r="B322" s="24" t="s">
        <v>26</v>
      </c>
      <c r="C322" s="24" t="s">
        <v>127</v>
      </c>
      <c r="D322" s="24" t="s">
        <v>132</v>
      </c>
      <c r="E322" s="24" t="s">
        <v>41</v>
      </c>
    </row>
    <row r="323" spans="1:5">
      <c r="A323" s="23">
        <v>2727</v>
      </c>
      <c r="B323" s="24" t="s">
        <v>26</v>
      </c>
      <c r="C323" s="24" t="s">
        <v>117</v>
      </c>
      <c r="D323" s="24" t="s">
        <v>103</v>
      </c>
      <c r="E323" s="24" t="s">
        <v>41</v>
      </c>
    </row>
    <row r="324" spans="1:5">
      <c r="A324" s="23">
        <v>2728</v>
      </c>
      <c r="B324" s="24" t="s">
        <v>26</v>
      </c>
      <c r="C324" s="24" t="s">
        <v>136</v>
      </c>
      <c r="D324" s="24" t="s">
        <v>56</v>
      </c>
      <c r="E324" s="24" t="s">
        <v>41</v>
      </c>
    </row>
    <row r="325" spans="1:5">
      <c r="A325" s="23">
        <v>2732</v>
      </c>
      <c r="B325" s="24" t="s">
        <v>26</v>
      </c>
      <c r="C325" s="24" t="s">
        <v>136</v>
      </c>
      <c r="D325" s="24" t="s">
        <v>135</v>
      </c>
      <c r="E325" s="24" t="s">
        <v>41</v>
      </c>
    </row>
    <row r="326" spans="1:5">
      <c r="A326" s="23">
        <v>2733</v>
      </c>
      <c r="B326" s="24" t="s">
        <v>26</v>
      </c>
      <c r="C326" s="24" t="s">
        <v>106</v>
      </c>
      <c r="D326" s="24" t="s">
        <v>43</v>
      </c>
      <c r="E326" s="24" t="s">
        <v>41</v>
      </c>
    </row>
    <row r="327" spans="1:5">
      <c r="A327" s="23">
        <v>2734</v>
      </c>
      <c r="B327" s="24" t="s">
        <v>26</v>
      </c>
      <c r="C327" s="24" t="s">
        <v>127</v>
      </c>
      <c r="D327" s="24" t="s">
        <v>103</v>
      </c>
      <c r="E327" s="24" t="s">
        <v>41</v>
      </c>
    </row>
    <row r="328" spans="1:5">
      <c r="A328" s="23">
        <v>2736</v>
      </c>
      <c r="B328" s="24" t="s">
        <v>47</v>
      </c>
      <c r="C328" s="24" t="s">
        <v>88</v>
      </c>
      <c r="D328" s="24" t="s">
        <v>48</v>
      </c>
      <c r="E328" s="24" t="s">
        <v>21</v>
      </c>
    </row>
    <row r="329" spans="1:5">
      <c r="A329" s="23">
        <v>2737</v>
      </c>
      <c r="B329" s="24" t="s">
        <v>26</v>
      </c>
      <c r="C329" s="24" t="s">
        <v>106</v>
      </c>
      <c r="D329" s="24" t="s">
        <v>63</v>
      </c>
      <c r="E329" s="24" t="s">
        <v>41</v>
      </c>
    </row>
    <row r="330" spans="1:5">
      <c r="A330" s="23">
        <v>2738</v>
      </c>
      <c r="B330" s="24" t="s">
        <v>26</v>
      </c>
      <c r="C330" s="24" t="s">
        <v>136</v>
      </c>
      <c r="D330" s="24" t="s">
        <v>139</v>
      </c>
      <c r="E330" s="24" t="s">
        <v>41</v>
      </c>
    </row>
    <row r="331" spans="1:5">
      <c r="A331" s="23">
        <v>2739</v>
      </c>
      <c r="B331" s="24" t="s">
        <v>26</v>
      </c>
      <c r="C331" s="24" t="s">
        <v>88</v>
      </c>
      <c r="D331" s="24" t="s">
        <v>78</v>
      </c>
      <c r="E331" s="24" t="s">
        <v>41</v>
      </c>
    </row>
    <row r="332" spans="1:5">
      <c r="A332" s="23">
        <v>2740</v>
      </c>
      <c r="B332" s="24" t="s">
        <v>47</v>
      </c>
      <c r="C332" s="24" t="s">
        <v>127</v>
      </c>
      <c r="D332" s="24" t="s">
        <v>48</v>
      </c>
      <c r="E332" s="24" t="s">
        <v>21</v>
      </c>
    </row>
    <row r="333" spans="1:5">
      <c r="A333" s="23">
        <v>2741</v>
      </c>
      <c r="B333" s="24" t="s">
        <v>26</v>
      </c>
      <c r="C333" s="24" t="s">
        <v>136</v>
      </c>
      <c r="D333" s="24" t="s">
        <v>135</v>
      </c>
      <c r="E333" s="24" t="s">
        <v>41</v>
      </c>
    </row>
    <row r="334" spans="1:5">
      <c r="A334" s="23">
        <v>2742</v>
      </c>
      <c r="B334" s="24" t="s">
        <v>26</v>
      </c>
      <c r="C334" s="24" t="s">
        <v>127</v>
      </c>
      <c r="D334" s="24" t="s">
        <v>66</v>
      </c>
      <c r="E334" s="24" t="s">
        <v>41</v>
      </c>
    </row>
    <row r="335" spans="1:5">
      <c r="A335" s="23">
        <v>2748</v>
      </c>
      <c r="B335" s="24" t="s">
        <v>26</v>
      </c>
      <c r="C335" s="24" t="s">
        <v>127</v>
      </c>
      <c r="D335" s="24" t="s">
        <v>122</v>
      </c>
      <c r="E335" s="24" t="s">
        <v>41</v>
      </c>
    </row>
    <row r="336" spans="1:5">
      <c r="A336" s="23">
        <v>2749</v>
      </c>
      <c r="B336" s="24" t="s">
        <v>26</v>
      </c>
      <c r="C336" s="24" t="s">
        <v>127</v>
      </c>
      <c r="D336" s="24" t="s">
        <v>57</v>
      </c>
      <c r="E336" s="24" t="s">
        <v>41</v>
      </c>
    </row>
    <row r="337" spans="1:5">
      <c r="A337" s="23">
        <v>2750</v>
      </c>
      <c r="B337" s="24" t="s">
        <v>26</v>
      </c>
      <c r="C337" s="24" t="s">
        <v>127</v>
      </c>
      <c r="D337" s="24" t="s">
        <v>42</v>
      </c>
      <c r="E337" s="24" t="s">
        <v>41</v>
      </c>
    </row>
    <row r="338" spans="1:5">
      <c r="A338" s="23">
        <v>2751</v>
      </c>
      <c r="B338" s="24" t="s">
        <v>47</v>
      </c>
      <c r="C338" s="24" t="s">
        <v>106</v>
      </c>
      <c r="D338" s="24" t="s">
        <v>48</v>
      </c>
      <c r="E338" s="24" t="s">
        <v>21</v>
      </c>
    </row>
    <row r="339" spans="1:5">
      <c r="A339" s="23">
        <v>2752</v>
      </c>
      <c r="B339" s="24" t="s">
        <v>26</v>
      </c>
      <c r="C339" s="24" t="s">
        <v>82</v>
      </c>
      <c r="D339" s="24" t="s">
        <v>40</v>
      </c>
      <c r="E339" s="24" t="s">
        <v>41</v>
      </c>
    </row>
    <row r="340" spans="1:5">
      <c r="A340" s="23">
        <v>2754</v>
      </c>
      <c r="B340" s="24" t="s">
        <v>26</v>
      </c>
      <c r="C340" s="24" t="s">
        <v>117</v>
      </c>
      <c r="D340" s="24" t="s">
        <v>135</v>
      </c>
      <c r="E340" s="24" t="s">
        <v>41</v>
      </c>
    </row>
    <row r="341" spans="1:5">
      <c r="A341" s="23">
        <v>2755</v>
      </c>
      <c r="B341" s="24" t="s">
        <v>26</v>
      </c>
      <c r="C341" s="24" t="s">
        <v>117</v>
      </c>
      <c r="D341" s="24" t="s">
        <v>56</v>
      </c>
      <c r="E341" s="24" t="s">
        <v>41</v>
      </c>
    </row>
    <row r="342" spans="1:5">
      <c r="A342" s="23">
        <v>2757</v>
      </c>
      <c r="B342" s="24" t="s">
        <v>47</v>
      </c>
      <c r="C342" s="24" t="s">
        <v>127</v>
      </c>
      <c r="D342" s="24" t="s">
        <v>48</v>
      </c>
      <c r="E342" s="24" t="s">
        <v>21</v>
      </c>
    </row>
    <row r="343" spans="1:5">
      <c r="A343" s="23">
        <v>2758</v>
      </c>
      <c r="B343" s="24" t="s">
        <v>47</v>
      </c>
      <c r="C343" s="24" t="s">
        <v>127</v>
      </c>
      <c r="D343" s="24" t="s">
        <v>48</v>
      </c>
      <c r="E343" s="24" t="s">
        <v>21</v>
      </c>
    </row>
    <row r="344" spans="1:5">
      <c r="A344" s="23">
        <v>2760</v>
      </c>
      <c r="B344" s="24" t="s">
        <v>26</v>
      </c>
      <c r="C344" s="24" t="s">
        <v>127</v>
      </c>
      <c r="D344" s="24" t="s">
        <v>49</v>
      </c>
      <c r="E344" s="24" t="s">
        <v>21</v>
      </c>
    </row>
    <row r="345" spans="1:5">
      <c r="A345" s="23">
        <v>2761</v>
      </c>
      <c r="B345" s="24" t="s">
        <v>47</v>
      </c>
      <c r="C345" s="24" t="s">
        <v>117</v>
      </c>
      <c r="D345" s="24" t="s">
        <v>48</v>
      </c>
      <c r="E345" s="24" t="s">
        <v>21</v>
      </c>
    </row>
    <row r="346" spans="1:5">
      <c r="A346" s="23">
        <v>2762</v>
      </c>
      <c r="B346" s="24" t="s">
        <v>26</v>
      </c>
      <c r="C346" s="24" t="s">
        <v>88</v>
      </c>
      <c r="D346" s="24" t="s">
        <v>85</v>
      </c>
      <c r="E346" s="24" t="s">
        <v>41</v>
      </c>
    </row>
    <row r="347" spans="1:5">
      <c r="A347" s="23">
        <v>2763</v>
      </c>
      <c r="B347" s="24" t="s">
        <v>47</v>
      </c>
      <c r="C347" s="24" t="s">
        <v>127</v>
      </c>
      <c r="D347" s="24" t="s">
        <v>48</v>
      </c>
      <c r="E347" s="24" t="s">
        <v>21</v>
      </c>
    </row>
    <row r="348" spans="1:5">
      <c r="A348" s="23">
        <v>2764</v>
      </c>
      <c r="B348" s="24" t="s">
        <v>26</v>
      </c>
      <c r="C348" s="24" t="s">
        <v>127</v>
      </c>
      <c r="D348" s="24" t="s">
        <v>58</v>
      </c>
      <c r="E348" s="24" t="s">
        <v>41</v>
      </c>
    </row>
    <row r="349" spans="1:5">
      <c r="A349" s="23">
        <v>2765</v>
      </c>
      <c r="B349" s="24" t="s">
        <v>26</v>
      </c>
      <c r="C349" s="24" t="s">
        <v>127</v>
      </c>
      <c r="D349" s="24" t="s">
        <v>99</v>
      </c>
      <c r="E349" s="24" t="s">
        <v>41</v>
      </c>
    </row>
    <row r="350" spans="1:5">
      <c r="A350" s="23">
        <v>2766</v>
      </c>
      <c r="B350" s="24" t="s">
        <v>26</v>
      </c>
      <c r="C350" s="24" t="s">
        <v>136</v>
      </c>
      <c r="D350" s="24" t="s">
        <v>76</v>
      </c>
      <c r="E350" s="24" t="s">
        <v>41</v>
      </c>
    </row>
    <row r="351" spans="1:5">
      <c r="A351" s="23">
        <v>2767</v>
      </c>
      <c r="B351" s="24" t="s">
        <v>26</v>
      </c>
      <c r="C351" s="24" t="s">
        <v>117</v>
      </c>
      <c r="D351" s="24" t="s">
        <v>55</v>
      </c>
      <c r="E351" s="24" t="s">
        <v>41</v>
      </c>
    </row>
    <row r="352" spans="1:5">
      <c r="A352" s="23">
        <v>2768</v>
      </c>
      <c r="B352" s="24" t="s">
        <v>26</v>
      </c>
      <c r="C352" s="24" t="s">
        <v>136</v>
      </c>
      <c r="D352" s="24" t="s">
        <v>103</v>
      </c>
      <c r="E352" s="24" t="s">
        <v>41</v>
      </c>
    </row>
    <row r="353" spans="1:5">
      <c r="A353" s="23">
        <v>2771</v>
      </c>
      <c r="B353" s="24" t="s">
        <v>26</v>
      </c>
      <c r="C353" s="24" t="s">
        <v>127</v>
      </c>
      <c r="D353" s="24" t="s">
        <v>140</v>
      </c>
      <c r="E353" s="24" t="s">
        <v>41</v>
      </c>
    </row>
    <row r="354" spans="1:5">
      <c r="A354" s="23">
        <v>2772</v>
      </c>
      <c r="B354" s="24" t="s">
        <v>26</v>
      </c>
      <c r="C354" s="24" t="s">
        <v>106</v>
      </c>
      <c r="D354" s="24" t="s">
        <v>141</v>
      </c>
      <c r="E354" s="24" t="s">
        <v>41</v>
      </c>
    </row>
    <row r="355" spans="1:5">
      <c r="A355" s="23">
        <v>2773</v>
      </c>
      <c r="B355" s="24" t="s">
        <v>26</v>
      </c>
      <c r="C355" s="24" t="s">
        <v>136</v>
      </c>
      <c r="D355" s="24" t="s">
        <v>59</v>
      </c>
      <c r="E355" s="24" t="s">
        <v>41</v>
      </c>
    </row>
    <row r="356" spans="1:5">
      <c r="A356" s="23">
        <v>2774</v>
      </c>
      <c r="B356" s="24" t="s">
        <v>26</v>
      </c>
      <c r="C356" s="24" t="s">
        <v>106</v>
      </c>
      <c r="D356" s="24" t="s">
        <v>83</v>
      </c>
      <c r="E356" s="24" t="s">
        <v>41</v>
      </c>
    </row>
    <row r="357" spans="1:5">
      <c r="A357" s="23">
        <v>2777</v>
      </c>
      <c r="B357" s="24" t="s">
        <v>47</v>
      </c>
      <c r="C357" s="24" t="s">
        <v>82</v>
      </c>
      <c r="D357" s="24" t="s">
        <v>48</v>
      </c>
      <c r="E357" s="24" t="s">
        <v>21</v>
      </c>
    </row>
    <row r="358" spans="1:5">
      <c r="A358" s="23">
        <v>2778</v>
      </c>
      <c r="B358" s="24" t="s">
        <v>26</v>
      </c>
      <c r="C358" s="24" t="s">
        <v>127</v>
      </c>
      <c r="D358" s="24" t="s">
        <v>75</v>
      </c>
      <c r="E358" s="24" t="s">
        <v>41</v>
      </c>
    </row>
    <row r="359" spans="1:5">
      <c r="A359" s="23">
        <v>2779</v>
      </c>
      <c r="B359" s="24" t="s">
        <v>26</v>
      </c>
      <c r="C359" s="24" t="s">
        <v>127</v>
      </c>
      <c r="D359" s="24" t="s">
        <v>142</v>
      </c>
      <c r="E359" s="24" t="s">
        <v>41</v>
      </c>
    </row>
    <row r="360" spans="1:5">
      <c r="A360" s="23">
        <v>2780</v>
      </c>
      <c r="B360" s="24" t="s">
        <v>47</v>
      </c>
      <c r="C360" s="24" t="s">
        <v>88</v>
      </c>
      <c r="D360" s="24" t="s">
        <v>48</v>
      </c>
      <c r="E360" s="24" t="s">
        <v>21</v>
      </c>
    </row>
    <row r="361" spans="1:5">
      <c r="A361" s="23">
        <v>2781</v>
      </c>
      <c r="B361" s="24" t="s">
        <v>27</v>
      </c>
      <c r="C361" s="24" t="s">
        <v>117</v>
      </c>
      <c r="D361" s="24" t="s">
        <v>143</v>
      </c>
      <c r="E361" s="24" t="s">
        <v>21</v>
      </c>
    </row>
    <row r="362" spans="1:5">
      <c r="A362" s="23">
        <v>2782</v>
      </c>
      <c r="B362" s="24" t="s">
        <v>27</v>
      </c>
      <c r="C362" s="24" t="s">
        <v>144</v>
      </c>
      <c r="D362" s="24" t="s">
        <v>145</v>
      </c>
      <c r="E362" s="24" t="s">
        <v>146</v>
      </c>
    </row>
    <row r="363" spans="1:5">
      <c r="A363" s="23">
        <v>2783</v>
      </c>
      <c r="B363" s="24" t="s">
        <v>27</v>
      </c>
      <c r="C363" s="24" t="s">
        <v>144</v>
      </c>
      <c r="D363" s="24" t="s">
        <v>147</v>
      </c>
      <c r="E363" s="24" t="s">
        <v>146</v>
      </c>
    </row>
    <row r="364" spans="1:5">
      <c r="A364" s="23">
        <v>2784</v>
      </c>
      <c r="B364" s="24" t="s">
        <v>27</v>
      </c>
      <c r="C364" s="24" t="s">
        <v>144</v>
      </c>
      <c r="D364" s="24" t="s">
        <v>148</v>
      </c>
      <c r="E364" s="24" t="s">
        <v>146</v>
      </c>
    </row>
    <row r="365" spans="1:5">
      <c r="A365" s="23">
        <v>2785</v>
      </c>
      <c r="B365" s="24" t="s">
        <v>27</v>
      </c>
      <c r="C365" s="24" t="s">
        <v>136</v>
      </c>
      <c r="D365" s="24" t="s">
        <v>149</v>
      </c>
      <c r="E365" s="24" t="s">
        <v>146</v>
      </c>
    </row>
    <row r="366" spans="1:5">
      <c r="A366" s="23">
        <v>2786</v>
      </c>
      <c r="B366" s="24" t="s">
        <v>27</v>
      </c>
      <c r="C366" s="24" t="s">
        <v>127</v>
      </c>
      <c r="D366" s="24" t="s">
        <v>150</v>
      </c>
      <c r="E366" s="24" t="s">
        <v>146</v>
      </c>
    </row>
    <row r="367" spans="1:5">
      <c r="A367" s="23">
        <v>2787</v>
      </c>
      <c r="B367" s="24" t="s">
        <v>27</v>
      </c>
      <c r="C367" s="24" t="s">
        <v>106</v>
      </c>
      <c r="D367" s="24" t="s">
        <v>151</v>
      </c>
      <c r="E367" s="24" t="s">
        <v>146</v>
      </c>
    </row>
    <row r="368" spans="1:5">
      <c r="A368" s="23">
        <v>2788</v>
      </c>
      <c r="B368" s="24" t="s">
        <v>27</v>
      </c>
      <c r="C368" s="24" t="s">
        <v>144</v>
      </c>
      <c r="D368" s="24" t="s">
        <v>152</v>
      </c>
      <c r="E368" s="24" t="s">
        <v>146</v>
      </c>
    </row>
    <row r="369" spans="1:5">
      <c r="A369" s="23">
        <v>2789</v>
      </c>
      <c r="B369" s="24" t="s">
        <v>153</v>
      </c>
      <c r="C369" s="24" t="s">
        <v>144</v>
      </c>
      <c r="D369" s="24" t="s">
        <v>154</v>
      </c>
      <c r="E369" s="24" t="s">
        <v>155</v>
      </c>
    </row>
    <row r="370" spans="1:5">
      <c r="A370" s="23">
        <v>2790</v>
      </c>
      <c r="B370" s="24" t="s">
        <v>27</v>
      </c>
      <c r="C370" s="24" t="s">
        <v>136</v>
      </c>
      <c r="D370" s="24" t="s">
        <v>71</v>
      </c>
      <c r="E370" s="24" t="s">
        <v>146</v>
      </c>
    </row>
    <row r="371" spans="1:5">
      <c r="A371" s="23">
        <v>2791</v>
      </c>
      <c r="B371" s="24" t="s">
        <v>27</v>
      </c>
      <c r="C371" s="24" t="s">
        <v>144</v>
      </c>
      <c r="D371" s="24" t="s">
        <v>71</v>
      </c>
      <c r="E371" s="24" t="s">
        <v>146</v>
      </c>
    </row>
    <row r="372" spans="1:5">
      <c r="A372" s="23">
        <v>2792</v>
      </c>
      <c r="B372" s="24" t="s">
        <v>27</v>
      </c>
      <c r="C372" s="24" t="s">
        <v>136</v>
      </c>
      <c r="D372" s="24" t="s">
        <v>156</v>
      </c>
      <c r="E372" s="24" t="s">
        <v>146</v>
      </c>
    </row>
    <row r="373" spans="1:5">
      <c r="A373" s="23">
        <v>2793</v>
      </c>
      <c r="B373" s="24" t="s">
        <v>153</v>
      </c>
      <c r="C373" s="24" t="s">
        <v>144</v>
      </c>
      <c r="D373" s="24" t="s">
        <v>92</v>
      </c>
      <c r="E373" s="24" t="s">
        <v>21</v>
      </c>
    </row>
    <row r="374" spans="1:5">
      <c r="A374" s="23">
        <v>2794</v>
      </c>
      <c r="B374" s="24" t="s">
        <v>27</v>
      </c>
      <c r="C374" s="24" t="s">
        <v>136</v>
      </c>
      <c r="D374" s="24" t="s">
        <v>119</v>
      </c>
      <c r="E374" s="24" t="s">
        <v>21</v>
      </c>
    </row>
    <row r="375" spans="1:5">
      <c r="A375" s="23">
        <v>2795</v>
      </c>
      <c r="B375" s="24" t="s">
        <v>27</v>
      </c>
      <c r="C375" s="24" t="s">
        <v>127</v>
      </c>
      <c r="D375" s="24" t="s">
        <v>54</v>
      </c>
      <c r="E375" s="24" t="s">
        <v>146</v>
      </c>
    </row>
    <row r="376" spans="1:5">
      <c r="A376" s="23">
        <v>2796</v>
      </c>
      <c r="B376" s="24" t="s">
        <v>27</v>
      </c>
      <c r="C376" s="24" t="s">
        <v>136</v>
      </c>
      <c r="D376" s="24" t="s">
        <v>95</v>
      </c>
      <c r="E376" s="24" t="s">
        <v>146</v>
      </c>
    </row>
    <row r="377" spans="1:5">
      <c r="A377" s="23">
        <v>2797</v>
      </c>
      <c r="B377" s="24" t="s">
        <v>70</v>
      </c>
      <c r="C377" s="24" t="s">
        <v>144</v>
      </c>
      <c r="D377" s="24" t="s">
        <v>157</v>
      </c>
      <c r="E377" s="24" t="s">
        <v>158</v>
      </c>
    </row>
    <row r="378" spans="1:5">
      <c r="A378" s="23">
        <v>2798</v>
      </c>
      <c r="B378" s="24" t="s">
        <v>27</v>
      </c>
      <c r="C378" s="24" t="s">
        <v>136</v>
      </c>
      <c r="D378" s="24" t="s">
        <v>159</v>
      </c>
      <c r="E378" s="24" t="s">
        <v>146</v>
      </c>
    </row>
    <row r="379" spans="1:5">
      <c r="A379" s="23">
        <v>2799</v>
      </c>
      <c r="B379" s="24" t="s">
        <v>27</v>
      </c>
      <c r="C379" s="24" t="s">
        <v>144</v>
      </c>
      <c r="D379" s="24" t="s">
        <v>75</v>
      </c>
      <c r="E379" s="24" t="s">
        <v>146</v>
      </c>
    </row>
    <row r="380" spans="1:5">
      <c r="A380" s="23">
        <v>2800</v>
      </c>
      <c r="B380" s="24" t="s">
        <v>153</v>
      </c>
      <c r="C380" s="24" t="s">
        <v>136</v>
      </c>
      <c r="D380" s="24" t="s">
        <v>91</v>
      </c>
      <c r="E380" s="24" t="s">
        <v>21</v>
      </c>
    </row>
    <row r="381" spans="1:5">
      <c r="A381" s="23">
        <v>2801</v>
      </c>
      <c r="B381" s="24" t="s">
        <v>27</v>
      </c>
      <c r="C381" s="24" t="s">
        <v>106</v>
      </c>
      <c r="D381" s="24" t="s">
        <v>102</v>
      </c>
      <c r="E381" s="24" t="s">
        <v>146</v>
      </c>
    </row>
    <row r="382" spans="1:5">
      <c r="A382" s="23">
        <v>2802</v>
      </c>
      <c r="B382" s="24" t="s">
        <v>27</v>
      </c>
      <c r="C382" s="24" t="s">
        <v>144</v>
      </c>
      <c r="D382" s="24" t="s">
        <v>58</v>
      </c>
      <c r="E382" s="24" t="s">
        <v>146</v>
      </c>
    </row>
    <row r="383" spans="1:5">
      <c r="A383" s="23">
        <v>2803</v>
      </c>
      <c r="B383" s="24" t="s">
        <v>27</v>
      </c>
      <c r="C383" s="24" t="s">
        <v>144</v>
      </c>
      <c r="D383" s="24" t="s">
        <v>90</v>
      </c>
      <c r="E383" s="24" t="s">
        <v>146</v>
      </c>
    </row>
    <row r="384" spans="1:5">
      <c r="A384" s="23">
        <v>2804</v>
      </c>
      <c r="B384" s="24" t="s">
        <v>27</v>
      </c>
      <c r="C384" s="24" t="s">
        <v>106</v>
      </c>
      <c r="D384" s="24" t="s">
        <v>157</v>
      </c>
      <c r="E384" s="24" t="s">
        <v>146</v>
      </c>
    </row>
    <row r="385" spans="1:5">
      <c r="A385" s="23">
        <v>2805</v>
      </c>
      <c r="B385" s="24" t="s">
        <v>27</v>
      </c>
      <c r="C385" s="24" t="s">
        <v>144</v>
      </c>
      <c r="D385" s="24" t="s">
        <v>65</v>
      </c>
      <c r="E385" s="24" t="s">
        <v>21</v>
      </c>
    </row>
    <row r="386" spans="1:5">
      <c r="A386" s="23">
        <v>2806</v>
      </c>
      <c r="B386" s="24" t="s">
        <v>153</v>
      </c>
      <c r="C386" s="24" t="s">
        <v>136</v>
      </c>
      <c r="D386" s="24" t="s">
        <v>160</v>
      </c>
      <c r="E386" s="24" t="s">
        <v>21</v>
      </c>
    </row>
    <row r="387" spans="1:5">
      <c r="A387" s="23">
        <v>2807</v>
      </c>
      <c r="B387" s="24" t="s">
        <v>153</v>
      </c>
      <c r="C387" s="24" t="s">
        <v>144</v>
      </c>
      <c r="D387" s="24" t="s">
        <v>160</v>
      </c>
      <c r="E387" s="24" t="s">
        <v>21</v>
      </c>
    </row>
    <row r="388" spans="1:5">
      <c r="A388" s="23">
        <v>2808</v>
      </c>
      <c r="B388" s="24" t="s">
        <v>27</v>
      </c>
      <c r="C388" s="24" t="s">
        <v>136</v>
      </c>
      <c r="D388" s="24" t="s">
        <v>132</v>
      </c>
      <c r="E388" s="24" t="s">
        <v>146</v>
      </c>
    </row>
    <row r="389" spans="1:5">
      <c r="A389" s="23">
        <v>2809</v>
      </c>
      <c r="B389" s="24" t="s">
        <v>27</v>
      </c>
      <c r="C389" s="24" t="s">
        <v>144</v>
      </c>
      <c r="D389" s="24" t="s">
        <v>161</v>
      </c>
      <c r="E389" s="24" t="s">
        <v>146</v>
      </c>
    </row>
    <row r="390" spans="1:5">
      <c r="A390" s="23">
        <v>2810</v>
      </c>
      <c r="B390" s="24" t="s">
        <v>27</v>
      </c>
      <c r="C390" s="24" t="s">
        <v>136</v>
      </c>
      <c r="D390" s="24" t="s">
        <v>100</v>
      </c>
      <c r="E390" s="24" t="s">
        <v>146</v>
      </c>
    </row>
    <row r="391" spans="1:5">
      <c r="A391" s="23">
        <v>2811</v>
      </c>
      <c r="B391" s="24" t="s">
        <v>27</v>
      </c>
      <c r="C391" s="24" t="s">
        <v>136</v>
      </c>
      <c r="D391" s="24" t="s">
        <v>140</v>
      </c>
      <c r="E391" s="24" t="s">
        <v>146</v>
      </c>
    </row>
    <row r="392" spans="1:5">
      <c r="A392" s="23">
        <v>2812</v>
      </c>
      <c r="B392" s="24" t="s">
        <v>153</v>
      </c>
      <c r="C392" s="24" t="s">
        <v>136</v>
      </c>
      <c r="D392" s="24" t="s">
        <v>140</v>
      </c>
      <c r="E392" s="24" t="s">
        <v>21</v>
      </c>
    </row>
    <row r="393" spans="1:5">
      <c r="A393" s="23">
        <v>2813</v>
      </c>
      <c r="B393" s="24" t="s">
        <v>153</v>
      </c>
      <c r="C393" s="24" t="s">
        <v>136</v>
      </c>
      <c r="D393" s="24" t="s">
        <v>108</v>
      </c>
      <c r="E393" s="24" t="s">
        <v>21</v>
      </c>
    </row>
    <row r="394" spans="1:5">
      <c r="A394" s="23">
        <v>2814</v>
      </c>
      <c r="B394" s="24" t="s">
        <v>153</v>
      </c>
      <c r="C394" s="24" t="s">
        <v>136</v>
      </c>
      <c r="D394" s="24" t="s">
        <v>76</v>
      </c>
      <c r="E394" s="24" t="s">
        <v>21</v>
      </c>
    </row>
    <row r="395" spans="1:5">
      <c r="A395" s="23">
        <v>2815</v>
      </c>
      <c r="B395" s="24" t="s">
        <v>27</v>
      </c>
      <c r="C395" s="24" t="s">
        <v>136</v>
      </c>
      <c r="D395" s="24" t="s">
        <v>121</v>
      </c>
      <c r="E395" s="24" t="s">
        <v>21</v>
      </c>
    </row>
    <row r="396" spans="1:5">
      <c r="A396" s="23">
        <v>2816</v>
      </c>
      <c r="B396" s="24" t="s">
        <v>27</v>
      </c>
      <c r="C396" s="24" t="s">
        <v>136</v>
      </c>
      <c r="D396" s="24" t="s">
        <v>162</v>
      </c>
      <c r="E396" s="24" t="s">
        <v>146</v>
      </c>
    </row>
    <row r="397" spans="1:5">
      <c r="A397" s="23">
        <v>2817</v>
      </c>
      <c r="B397" s="24" t="s">
        <v>27</v>
      </c>
      <c r="C397" s="24" t="s">
        <v>136</v>
      </c>
      <c r="D397" s="24" t="s">
        <v>73</v>
      </c>
      <c r="E397" s="24" t="s">
        <v>146</v>
      </c>
    </row>
    <row r="398" spans="1:5">
      <c r="A398" s="23">
        <v>2818</v>
      </c>
      <c r="B398" s="24" t="s">
        <v>153</v>
      </c>
      <c r="C398" s="24" t="s">
        <v>144</v>
      </c>
      <c r="D398" s="24" t="s">
        <v>73</v>
      </c>
      <c r="E398" s="24" t="s">
        <v>21</v>
      </c>
    </row>
    <row r="399" spans="1:5">
      <c r="A399" s="23">
        <v>2819</v>
      </c>
      <c r="B399" s="24" t="s">
        <v>27</v>
      </c>
      <c r="C399" s="24" t="s">
        <v>82</v>
      </c>
      <c r="D399" s="24" t="s">
        <v>163</v>
      </c>
      <c r="E399" s="24" t="s">
        <v>146</v>
      </c>
    </row>
    <row r="400" spans="1:5">
      <c r="A400" s="23">
        <v>2820</v>
      </c>
      <c r="B400" s="24" t="s">
        <v>153</v>
      </c>
      <c r="C400" s="24" t="s">
        <v>136</v>
      </c>
      <c r="D400" s="24" t="s">
        <v>162</v>
      </c>
      <c r="E400" s="24" t="s">
        <v>21</v>
      </c>
    </row>
    <row r="401" spans="1:5">
      <c r="A401" s="23">
        <v>2821</v>
      </c>
      <c r="B401" s="24" t="s">
        <v>27</v>
      </c>
      <c r="C401" s="24" t="s">
        <v>106</v>
      </c>
      <c r="D401" s="24" t="s">
        <v>164</v>
      </c>
      <c r="E401" s="24" t="s">
        <v>146</v>
      </c>
    </row>
    <row r="402" spans="1:5">
      <c r="A402" s="23">
        <v>2822</v>
      </c>
      <c r="B402" s="24" t="s">
        <v>27</v>
      </c>
      <c r="C402" s="24" t="s">
        <v>127</v>
      </c>
      <c r="D402" s="24" t="s">
        <v>165</v>
      </c>
      <c r="E402" s="24" t="s">
        <v>146</v>
      </c>
    </row>
    <row r="403" spans="1:5">
      <c r="A403" s="23">
        <v>2823</v>
      </c>
      <c r="B403" s="24" t="s">
        <v>27</v>
      </c>
      <c r="C403" s="24" t="s">
        <v>117</v>
      </c>
      <c r="D403" s="24" t="s">
        <v>165</v>
      </c>
      <c r="E403" s="24" t="s">
        <v>146</v>
      </c>
    </row>
    <row r="404" spans="1:5">
      <c r="A404" s="23">
        <v>2824</v>
      </c>
      <c r="B404" s="24" t="s">
        <v>153</v>
      </c>
      <c r="C404" s="24" t="s">
        <v>136</v>
      </c>
      <c r="D404" s="24" t="s">
        <v>165</v>
      </c>
      <c r="E404" s="24" t="s">
        <v>21</v>
      </c>
    </row>
    <row r="405" spans="1:5">
      <c r="A405" s="23">
        <v>2825</v>
      </c>
      <c r="B405" s="24" t="s">
        <v>27</v>
      </c>
      <c r="C405" s="24" t="s">
        <v>144</v>
      </c>
      <c r="D405" s="24" t="s">
        <v>163</v>
      </c>
      <c r="E405" s="24" t="s">
        <v>146</v>
      </c>
    </row>
    <row r="406" spans="1:5">
      <c r="A406" s="23">
        <v>2826</v>
      </c>
      <c r="B406" s="24" t="s">
        <v>27</v>
      </c>
      <c r="C406" s="24" t="s">
        <v>136</v>
      </c>
      <c r="D406" s="24" t="s">
        <v>163</v>
      </c>
      <c r="E406" s="24" t="s">
        <v>146</v>
      </c>
    </row>
    <row r="407" spans="1:5">
      <c r="A407" s="23">
        <v>5818</v>
      </c>
      <c r="B407" s="24" t="s">
        <v>26</v>
      </c>
      <c r="C407" s="24" t="s">
        <v>39</v>
      </c>
      <c r="D407" s="24" t="s">
        <v>103</v>
      </c>
      <c r="E407" s="24" t="s">
        <v>41</v>
      </c>
    </row>
    <row r="408" spans="1:5">
      <c r="A408" s="23">
        <v>6177</v>
      </c>
      <c r="B408" s="24" t="s">
        <v>26</v>
      </c>
      <c r="C408" s="24" t="s">
        <v>61</v>
      </c>
      <c r="D408" s="24" t="s">
        <v>55</v>
      </c>
      <c r="E408" s="24" t="s">
        <v>41</v>
      </c>
    </row>
    <row r="409" spans="1:5">
      <c r="A409" s="23">
        <v>6425</v>
      </c>
      <c r="B409" s="24" t="s">
        <v>26</v>
      </c>
      <c r="C409" s="24" t="s">
        <v>74</v>
      </c>
      <c r="D409" s="24" t="s">
        <v>103</v>
      </c>
      <c r="E409" s="24" t="s">
        <v>41</v>
      </c>
    </row>
    <row r="410" spans="1:5">
      <c r="A410" s="23">
        <v>6578</v>
      </c>
      <c r="B410" s="24" t="s">
        <v>26</v>
      </c>
      <c r="C410" s="24" t="s">
        <v>88</v>
      </c>
      <c r="D410" s="24" t="s">
        <v>55</v>
      </c>
      <c r="E410" s="24" t="s">
        <v>41</v>
      </c>
    </row>
    <row r="411" spans="1:5">
      <c r="A411" s="23">
        <v>6715</v>
      </c>
      <c r="B411" s="24" t="s">
        <v>26</v>
      </c>
      <c r="C411" s="24" t="s">
        <v>45</v>
      </c>
      <c r="D411" s="24" t="s">
        <v>68</v>
      </c>
      <c r="E411" s="24" t="s">
        <v>41</v>
      </c>
    </row>
    <row r="412" spans="1:5">
      <c r="A412" s="23">
        <v>6839</v>
      </c>
      <c r="B412" s="24" t="s">
        <v>47</v>
      </c>
      <c r="C412" s="24" t="s">
        <v>82</v>
      </c>
      <c r="D412" s="24" t="s">
        <v>48</v>
      </c>
      <c r="E412" s="24" t="s">
        <v>21</v>
      </c>
    </row>
    <row r="413" spans="1:5">
      <c r="A413" s="23">
        <v>7059</v>
      </c>
      <c r="B413" s="24" t="s">
        <v>26</v>
      </c>
      <c r="C413" s="24" t="s">
        <v>117</v>
      </c>
      <c r="D413" s="24" t="s">
        <v>59</v>
      </c>
      <c r="E413" s="24" t="s">
        <v>41</v>
      </c>
    </row>
    <row r="414" spans="1:5">
      <c r="A414" s="23">
        <v>7169</v>
      </c>
      <c r="B414" s="24" t="s">
        <v>47</v>
      </c>
      <c r="C414" s="24" t="s">
        <v>82</v>
      </c>
      <c r="D414" s="24" t="s">
        <v>48</v>
      </c>
      <c r="E414" s="24" t="s">
        <v>21</v>
      </c>
    </row>
    <row r="415" spans="1:5">
      <c r="A415" s="23">
        <v>7274</v>
      </c>
      <c r="B415" s="24" t="s">
        <v>26</v>
      </c>
      <c r="C415" s="24" t="s">
        <v>136</v>
      </c>
      <c r="D415" s="24" t="s">
        <v>91</v>
      </c>
      <c r="E415" s="24" t="s">
        <v>41</v>
      </c>
    </row>
    <row r="416" spans="1:5">
      <c r="A416" s="23">
        <v>7295</v>
      </c>
      <c r="B416" s="24" t="s">
        <v>26</v>
      </c>
      <c r="C416" s="24" t="s">
        <v>127</v>
      </c>
      <c r="D416" s="24" t="s">
        <v>78</v>
      </c>
      <c r="E416" s="24" t="s">
        <v>41</v>
      </c>
    </row>
    <row r="417" spans="1:5">
      <c r="A417" s="23">
        <v>7331</v>
      </c>
      <c r="B417" s="24" t="s">
        <v>26</v>
      </c>
      <c r="C417" s="24" t="s">
        <v>127</v>
      </c>
      <c r="D417" s="24" t="s">
        <v>166</v>
      </c>
      <c r="E417" s="24" t="s">
        <v>41</v>
      </c>
    </row>
    <row r="418" spans="1:5">
      <c r="A418" s="23">
        <v>10276</v>
      </c>
      <c r="B418" s="24" t="s">
        <v>26</v>
      </c>
      <c r="C418" s="24" t="s">
        <v>74</v>
      </c>
      <c r="D418" s="24" t="s">
        <v>134</v>
      </c>
      <c r="E418" s="24" t="s">
        <v>41</v>
      </c>
    </row>
    <row r="419" spans="1:5">
      <c r="A419" s="23">
        <v>10349</v>
      </c>
      <c r="B419" s="24" t="s">
        <v>26</v>
      </c>
      <c r="C419" s="24" t="s">
        <v>74</v>
      </c>
      <c r="D419" s="24" t="s">
        <v>90</v>
      </c>
      <c r="E419" s="24" t="s">
        <v>41</v>
      </c>
    </row>
    <row r="420" spans="1:5">
      <c r="A420" s="23">
        <v>10526</v>
      </c>
      <c r="B420" s="24" t="s">
        <v>47</v>
      </c>
      <c r="C420" s="24" t="s">
        <v>82</v>
      </c>
      <c r="D420" s="24" t="s">
        <v>48</v>
      </c>
      <c r="E420" s="24" t="s">
        <v>21</v>
      </c>
    </row>
    <row r="421" spans="1:5">
      <c r="A421" s="23">
        <v>10637</v>
      </c>
      <c r="B421" s="24" t="s">
        <v>26</v>
      </c>
      <c r="C421" s="24" t="s">
        <v>74</v>
      </c>
      <c r="D421" s="24" t="s">
        <v>83</v>
      </c>
      <c r="E421" s="24" t="s">
        <v>41</v>
      </c>
    </row>
    <row r="422" spans="1:5">
      <c r="A422" s="23">
        <v>10666</v>
      </c>
      <c r="B422" s="24" t="s">
        <v>47</v>
      </c>
      <c r="C422" s="24" t="s">
        <v>106</v>
      </c>
      <c r="D422" s="24" t="s">
        <v>48</v>
      </c>
      <c r="E422" s="24" t="s">
        <v>21</v>
      </c>
    </row>
    <row r="423" spans="1:5">
      <c r="A423" s="23">
        <v>10850</v>
      </c>
      <c r="B423" s="24" t="s">
        <v>26</v>
      </c>
      <c r="C423" s="24" t="s">
        <v>88</v>
      </c>
      <c r="D423" s="24" t="s">
        <v>50</v>
      </c>
      <c r="E423" s="24" t="s">
        <v>41</v>
      </c>
    </row>
    <row r="424" spans="1:5">
      <c r="A424" s="23">
        <v>10852</v>
      </c>
      <c r="B424" s="24" t="s">
        <v>47</v>
      </c>
      <c r="C424" s="24" t="s">
        <v>88</v>
      </c>
      <c r="D424" s="24" t="s">
        <v>48</v>
      </c>
      <c r="E424" s="24" t="s">
        <v>21</v>
      </c>
    </row>
    <row r="425" spans="1:5">
      <c r="A425" s="23">
        <v>15137</v>
      </c>
      <c r="B425" s="24" t="s">
        <v>47</v>
      </c>
      <c r="C425" s="24" t="s">
        <v>39</v>
      </c>
      <c r="D425" s="24" t="s">
        <v>48</v>
      </c>
      <c r="E425" s="24" t="s">
        <v>21</v>
      </c>
    </row>
    <row r="426" spans="1:5">
      <c r="A426" s="23">
        <v>15599</v>
      </c>
      <c r="B426" s="24" t="s">
        <v>26</v>
      </c>
      <c r="C426" s="24" t="s">
        <v>45</v>
      </c>
      <c r="D426" s="24" t="s">
        <v>52</v>
      </c>
      <c r="E426" s="24" t="s">
        <v>41</v>
      </c>
    </row>
    <row r="427" spans="1:5">
      <c r="A427" s="23">
        <v>16655</v>
      </c>
      <c r="B427" s="24" t="s">
        <v>26</v>
      </c>
      <c r="C427" s="24" t="s">
        <v>127</v>
      </c>
      <c r="D427" s="24" t="s">
        <v>167</v>
      </c>
      <c r="E427" s="24" t="s">
        <v>41</v>
      </c>
    </row>
  </sheetData>
  <autoFilter ref="A5:B341" xr:uid="{7E86F579-470D-4951-9719-DDBB9E0F324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931E-66F6-4D36-BA65-857B50C1139C}">
  <dimension ref="A1:D22"/>
  <sheetViews>
    <sheetView topLeftCell="A19" workbookViewId="0">
      <selection activeCell="A23" sqref="A23"/>
    </sheetView>
  </sheetViews>
  <sheetFormatPr baseColWidth="10" defaultRowHeight="14.4"/>
  <cols>
    <col min="1" max="1" width="21.109375" customWidth="1"/>
    <col min="2" max="2" width="25.88671875" customWidth="1"/>
    <col min="3" max="3" width="25.21875" style="5" customWidth="1"/>
    <col min="4" max="4" width="11.5546875" style="4"/>
  </cols>
  <sheetData>
    <row r="1" spans="1:4">
      <c r="A1" t="s">
        <v>23</v>
      </c>
      <c r="B1" t="s">
        <v>28</v>
      </c>
      <c r="C1" s="5" t="s">
        <v>30</v>
      </c>
      <c r="D1" s="4" t="s">
        <v>29</v>
      </c>
    </row>
    <row r="2" spans="1:4">
      <c r="A2" s="1" t="s">
        <v>17</v>
      </c>
      <c r="B2" s="6">
        <f>COUNTIFS('2025'!B$6:B$700,"1KAMI",'2025'!C$6:C$700,"Reinscrito")</f>
        <v>16</v>
      </c>
      <c r="C2" s="6">
        <f>COUNTIF('2025'!B$6:B$700,"1KAMI")</f>
        <v>18</v>
      </c>
      <c r="D2" s="7">
        <f>B2/C2</f>
        <v>0.88888888888888884</v>
      </c>
    </row>
    <row r="3" spans="1:4">
      <c r="A3" s="1" t="s">
        <v>16</v>
      </c>
      <c r="B3" s="6">
        <f>COUNTIFS('2025'!B$6:B$700,"1KBMI",'2025'!C$6:C$700,"Reinscrito")</f>
        <v>14</v>
      </c>
      <c r="C3" s="6">
        <f>COUNTIF('2025'!B$6:B$700,"1KBMI")</f>
        <v>17</v>
      </c>
      <c r="D3" s="7">
        <f t="shared" ref="D3:D20" si="0">B3/C3</f>
        <v>0.82352941176470584</v>
      </c>
    </row>
    <row r="4" spans="1:4">
      <c r="A4" s="1" t="s">
        <v>11</v>
      </c>
      <c r="B4" s="6">
        <f>COUNTIFS('2025'!B$6:B$700,"1PAMI",'2025'!C$6:C$700,"Reinscrito")</f>
        <v>17</v>
      </c>
      <c r="C4" s="6">
        <f>COUNTIF('2025'!B$6:B$700,"1PAMI")</f>
        <v>20</v>
      </c>
      <c r="D4" s="7">
        <f t="shared" si="0"/>
        <v>0.85</v>
      </c>
    </row>
    <row r="5" spans="1:4">
      <c r="A5" s="1" t="s">
        <v>10</v>
      </c>
      <c r="B5" s="6">
        <f>COUNTIFS('2025'!B$6:B$700,"1PBMI",'2025'!C$6:C$700,"Reinscrito")</f>
        <v>15</v>
      </c>
      <c r="C5" s="6">
        <f>COUNTIF('2025'!B$6:B$700,"1PBMI")</f>
        <v>20</v>
      </c>
      <c r="D5" s="7">
        <f t="shared" si="0"/>
        <v>0.75</v>
      </c>
    </row>
    <row r="6" spans="1:4">
      <c r="A6" s="1" t="s">
        <v>15</v>
      </c>
      <c r="B6" s="6">
        <f>COUNTIFS('2025'!B$6:B$700,"2KAMI",'2025'!C$6:C$700,"Reinscrito")</f>
        <v>21</v>
      </c>
      <c r="C6" s="6">
        <f>COUNTIF('2025'!B$6:B$700,"2KAMI")</f>
        <v>24</v>
      </c>
      <c r="D6" s="7">
        <f t="shared" si="0"/>
        <v>0.875</v>
      </c>
    </row>
    <row r="7" spans="1:4">
      <c r="A7" s="1" t="s">
        <v>14</v>
      </c>
      <c r="B7" s="6">
        <f>COUNTIFS('2025'!B$6:B$700,"2KBMI",'2025'!C$6:C$700,"Reinscrito")</f>
        <v>18</v>
      </c>
      <c r="C7" s="6">
        <f>COUNTIF('2025'!B$6:B$700,"2KBMI")</f>
        <v>22</v>
      </c>
      <c r="D7" s="7">
        <f t="shared" si="0"/>
        <v>0.81818181818181823</v>
      </c>
    </row>
    <row r="8" spans="1:4">
      <c r="A8" s="1" t="s">
        <v>8</v>
      </c>
      <c r="B8" s="6">
        <f>COUNTIFS('2025'!B$6:B$700,"2PAMI",'2025'!C$6:C$700,"Reinscrito")</f>
        <v>21</v>
      </c>
      <c r="C8" s="6">
        <f>COUNTIF('2025'!B$6:B$700,"2PAMI")</f>
        <v>25</v>
      </c>
      <c r="D8" s="7">
        <f t="shared" si="0"/>
        <v>0.84</v>
      </c>
    </row>
    <row r="9" spans="1:4">
      <c r="A9" s="1" t="s">
        <v>9</v>
      </c>
      <c r="B9" s="6">
        <f>COUNTIFS('2025'!B$6:B$700,"2PBMI",'2025'!C$6:C$700,"Reinscrito")</f>
        <v>17</v>
      </c>
      <c r="C9" s="6">
        <f>COUNTIF('2025'!B$6:B$700,"2PBMI")</f>
        <v>24</v>
      </c>
      <c r="D9" s="7">
        <f t="shared" si="0"/>
        <v>0.70833333333333337</v>
      </c>
    </row>
    <row r="10" spans="1:4">
      <c r="A10" s="1" t="s">
        <v>13</v>
      </c>
      <c r="B10" s="6">
        <f>COUNTIFS('2025'!B$6:B$700,"3KAMI",'2025'!C$6:C$700,"Reinscrito")</f>
        <v>17</v>
      </c>
      <c r="C10" s="6">
        <f>COUNTIF('2025'!B$6:B$700,"3KAMI")</f>
        <v>25</v>
      </c>
      <c r="D10" s="7">
        <f t="shared" si="0"/>
        <v>0.68</v>
      </c>
    </row>
    <row r="11" spans="1:4">
      <c r="A11" s="1" t="s">
        <v>12</v>
      </c>
      <c r="B11" s="6">
        <f>COUNTIFS('2025'!B$6:B$700,"3KBMI",'2025'!C$6:C$700,"Reinscrito")</f>
        <v>19</v>
      </c>
      <c r="C11" s="6">
        <f>COUNTIF('2025'!B$6:B$700,"3KBMI")</f>
        <v>25</v>
      </c>
      <c r="D11" s="7">
        <f t="shared" si="0"/>
        <v>0.76</v>
      </c>
    </row>
    <row r="12" spans="1:4">
      <c r="A12" s="1" t="s">
        <v>7</v>
      </c>
      <c r="B12" s="6">
        <f>COUNTIFS('2025'!B$6:B$700,"3PAMI",'2025'!C$6:C$700,"Reinscrito")</f>
        <v>12</v>
      </c>
      <c r="C12" s="6">
        <f>COUNTIF('2025'!B$6:B$700,"3PAMI")</f>
        <v>19</v>
      </c>
      <c r="D12" s="7">
        <f t="shared" si="0"/>
        <v>0.63157894736842102</v>
      </c>
    </row>
    <row r="13" spans="1:4">
      <c r="A13" s="1" t="s">
        <v>6</v>
      </c>
      <c r="B13" s="6">
        <f>COUNTIFS('2025'!B$6:B$700,"3PBMI",'2025'!C$6:C$700,"Reinscrito")</f>
        <v>13</v>
      </c>
      <c r="C13" s="6">
        <f>COUNTIF('2025'!B$6:B$700,"3PBMI")</f>
        <v>19</v>
      </c>
      <c r="D13" s="7">
        <f t="shared" si="0"/>
        <v>0.68421052631578949</v>
      </c>
    </row>
    <row r="14" spans="1:4">
      <c r="A14" s="1" t="s">
        <v>4</v>
      </c>
      <c r="B14" s="6">
        <f>COUNTIFS('2025'!B$6:B$700,"4PAMI",'2025'!C$6:C$700,"Reinscrito")</f>
        <v>14</v>
      </c>
      <c r="C14" s="6">
        <f>COUNTIF('2025'!B$6:B$700,"4PAMI")</f>
        <v>17</v>
      </c>
      <c r="D14" s="7">
        <f t="shared" si="0"/>
        <v>0.82352941176470584</v>
      </c>
    </row>
    <row r="15" spans="1:4">
      <c r="A15" s="1" t="s">
        <v>5</v>
      </c>
      <c r="B15" s="6">
        <f>COUNTIFS('2025'!B$6:B$700,"4PBMI",'2025'!C$6:C$700,"Reinscrito")</f>
        <v>13</v>
      </c>
      <c r="C15" s="6">
        <f>COUNTIF('2025'!B$6:B$700,"4PBMI")</f>
        <v>18</v>
      </c>
      <c r="D15" s="7">
        <f t="shared" si="0"/>
        <v>0.72222222222222221</v>
      </c>
    </row>
    <row r="16" spans="1:4">
      <c r="A16" s="1" t="s">
        <v>2</v>
      </c>
      <c r="B16" s="6">
        <f>COUNTIFS('2025'!B$6:B$700,"5PAMI",'2025'!C$6:C$700,"Reinscrito")</f>
        <v>18</v>
      </c>
      <c r="C16" s="6">
        <f>COUNTIF('2025'!B$6:B$700,"5PAMI")</f>
        <v>19</v>
      </c>
      <c r="D16" s="7">
        <f t="shared" si="0"/>
        <v>0.94736842105263153</v>
      </c>
    </row>
    <row r="17" spans="1:4">
      <c r="A17" s="1" t="s">
        <v>3</v>
      </c>
      <c r="B17" s="6">
        <f>COUNTIFS('2025'!B$6:B$700,"5PBMI",'2025'!C$6:C$700,"Reinscrito")</f>
        <v>14</v>
      </c>
      <c r="C17" s="6">
        <f>COUNTIF('2025'!B$6:B$700,"5PBMI")</f>
        <v>19</v>
      </c>
      <c r="D17" s="7">
        <f t="shared" si="0"/>
        <v>0.73684210526315785</v>
      </c>
    </row>
    <row r="18" spans="1:4">
      <c r="A18" s="1" t="s">
        <v>1</v>
      </c>
      <c r="B18" s="6">
        <f>COUNTIFS('2025'!B$6:B$700,"6PAMI",'2025'!C$6:C$700,"Reinscrito")</f>
        <v>11</v>
      </c>
      <c r="C18" s="6">
        <f>COUNTIF('2025'!B$6:B$700,"6PAMI")</f>
        <v>14</v>
      </c>
      <c r="D18" s="7">
        <f t="shared" si="0"/>
        <v>0.7857142857142857</v>
      </c>
    </row>
    <row r="19" spans="1:4">
      <c r="A19" s="1" t="s">
        <v>0</v>
      </c>
      <c r="B19" s="6">
        <f>COUNTIFS('2025'!B$6:B$700,"6PBMI",'2025'!C$6:C$700,"Reinscrito")</f>
        <v>9</v>
      </c>
      <c r="C19" s="6">
        <f>COUNTIF('2025'!B$6:B$700,"6PBMI")</f>
        <v>14</v>
      </c>
      <c r="D19" s="7">
        <f t="shared" si="0"/>
        <v>0.6428571428571429</v>
      </c>
    </row>
    <row r="20" spans="1:4">
      <c r="A20" s="1" t="s">
        <v>18</v>
      </c>
      <c r="B20" s="6">
        <f>COUNTIFS('2025'!B$6:B$700,"PNAMI",'2025'!C$6:C$700,"Reinscrito")</f>
        <v>15</v>
      </c>
      <c r="C20" s="6">
        <f>COUNTIF('2025'!B$6:B$700,"PNAMI")</f>
        <v>16</v>
      </c>
      <c r="D20" s="7">
        <f t="shared" si="0"/>
        <v>0.9375</v>
      </c>
    </row>
    <row r="21" spans="1:4" ht="21">
      <c r="A21" s="8" t="s">
        <v>31</v>
      </c>
      <c r="B21" s="8">
        <f>SUBTOTAL(109,B2:B20)-27</f>
        <v>267</v>
      </c>
      <c r="C21" s="8">
        <f>SUBTOTAL(109,C2:C20)-33</f>
        <v>342</v>
      </c>
      <c r="D21" s="9">
        <f>B21/C21</f>
        <v>0.7807017543859649</v>
      </c>
    </row>
    <row r="22" spans="1:4">
      <c r="A22" s="14" t="s">
        <v>33</v>
      </c>
      <c r="B22" s="14">
        <f>SUBTOTAL(109,Tabla1[total de alumnos Reinscritos])</f>
        <v>294</v>
      </c>
      <c r="C22" s="14">
        <f>SUBTOTAL(109,Tabla1[Total de alumnos por grupo])</f>
        <v>375</v>
      </c>
      <c r="D22" s="15">
        <f>Tabla1[[#Totals],[total de alumnos Reinscritos]]/Tabla1[[#Totals],[Total de alumnos por grupo]]</f>
        <v>0.78400000000000003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2025</vt:lpstr>
      <vt:lpstr>2026</vt:lpstr>
      <vt:lpstr>Avance de 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general de alumnos</dc:title>
  <dc:creator>Soluciones Tecnológicas INNOVAT S.A. de C.V.</dc:creator>
  <cp:lastModifiedBy>Antonio Turati</cp:lastModifiedBy>
  <dcterms:created xsi:type="dcterms:W3CDTF">2024-12-13T13:15:12Z</dcterms:created>
  <dcterms:modified xsi:type="dcterms:W3CDTF">2026-04-20T19:30:07Z</dcterms:modified>
</cp:coreProperties>
</file>